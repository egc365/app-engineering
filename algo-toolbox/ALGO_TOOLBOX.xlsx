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rosswalk" sheetId="2" state="visible" r:id="rId2"/>
    <sheet xmlns:r="http://schemas.openxmlformats.org/officeDocument/2006/relationships" name="CT x DMAIC" sheetId="3" state="visible" r:id="rId3"/>
    <sheet xmlns:r="http://schemas.openxmlformats.org/officeDocument/2006/relationships" name="Six Sigma" sheetId="4" state="visible" r:id="rId4"/>
    <sheet xmlns:r="http://schemas.openxmlformats.org/officeDocument/2006/relationships" name="Computational Thinking" sheetId="5" state="visible" r:id="rId5"/>
    <sheet xmlns:r="http://schemas.openxmlformats.org/officeDocument/2006/relationships" name="Statistics" sheetId="6" state="visible" r:id="rId6"/>
    <sheet xmlns:r="http://schemas.openxmlformats.org/officeDocument/2006/relationships" name="Decision Algorithms" sheetId="7" state="visible" r:id="rId7"/>
    <sheet xmlns:r="http://schemas.openxmlformats.org/officeDocument/2006/relationships" name="Failure Log" sheetId="8" state="visible" r:id="rId8"/>
    <sheet xmlns:r="http://schemas.openxmlformats.org/officeDocument/2006/relationships" name="Failure Pareto" sheetId="9" state="visible" r:id="rId9"/>
    <sheet xmlns:r="http://schemas.openxmlformats.org/officeDocument/2006/relationships" name="Sources" sheetId="10" state="visible" r:id="rId10"/>
  </sheets>
  <definedNames>
    <definedName name="_xlnm.Print_Titles" localSheetId="0">'Legend'!$1:$2</definedName>
    <definedName name="_xlnm.Print_Titles" localSheetId="1">'Crosswalk'!$1:$2</definedName>
    <definedName name="_xlnm.Print_Titles" localSheetId="2">'CT x DMAIC'!$1:$2</definedName>
    <definedName name="_xlnm.Print_Titles" localSheetId="3">'Six Sigma'!$1:$2</definedName>
    <definedName name="_xlnm.Print_Titles" localSheetId="4">'Computational Thinking'!$1:$2</definedName>
    <definedName name="_xlnm.Print_Titles" localSheetId="5">'Statistics'!$1:$2</definedName>
    <definedName name="_xlnm.Print_Titles" localSheetId="6">'Decision Algorithms'!$1:$1</definedName>
    <definedName name="_xlnm.Print_Titles" localSheetId="7">'Failure Log'!$1:$2</definedName>
    <definedName name="_xlnm.Print_Titles" localSheetId="8">'Failure Pareto'!$1:$3</definedName>
    <definedName name="_xlnm.Print_Titles" localSheetId="9">'Sources'!$1:$2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3"/>
    </font>
    <font>
      <name val="Calibri"/>
      <b val="1"/>
      <color rgb="001F4E79"/>
      <sz val="11"/>
    </font>
    <font>
      <name val="Calibri"/>
      <b val="1"/>
      <color rgb="00843C0C"/>
      <sz val="11"/>
    </font>
    <font>
      <name val="Calibri"/>
      <b val="1"/>
      <color rgb="00375623"/>
      <sz val="11"/>
    </font>
    <font>
      <name val="Calibri"/>
      <b val="1"/>
      <color rgb="001E5F5F"/>
      <sz val="11"/>
    </font>
    <font>
      <name val="Calibri"/>
      <b val="1"/>
      <color rgb="005B2C6F"/>
      <sz val="11"/>
    </font>
    <font>
      <name val="Calibri"/>
      <i val="1"/>
      <sz val="10"/>
    </font>
    <font>
      <name val="Calibri"/>
      <b val="1"/>
      <color rgb="008B0000"/>
      <sz val="11"/>
    </font>
  </fonts>
  <fills count="22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843C0C"/>
        <bgColor rgb="00843C0C"/>
      </patternFill>
    </fill>
    <fill>
      <patternFill patternType="solid">
        <fgColor rgb="00FBE5D6"/>
        <bgColor rgb="00FBE5D6"/>
      </patternFill>
    </fill>
    <fill>
      <patternFill patternType="solid">
        <fgColor rgb="005B2C6F"/>
        <bgColor rgb="005B2C6F"/>
      </patternFill>
    </fill>
    <fill>
      <patternFill patternType="solid">
        <fgColor rgb="00E8DDF0"/>
        <bgColor rgb="00E8DDF0"/>
      </patternFill>
    </fill>
    <fill>
      <patternFill patternType="solid">
        <fgColor rgb="001E5F5F"/>
        <bgColor rgb="001E5F5F"/>
      </patternFill>
    </fill>
    <fill>
      <patternFill patternType="solid">
        <fgColor rgb="00D9EEEE"/>
        <bgColor rgb="00D9EEEE"/>
      </patternFill>
    </fill>
    <fill>
      <patternFill patternType="solid">
        <fgColor rgb="007F6000"/>
        <bgColor rgb="007F6000"/>
      </patternFill>
    </fill>
    <fill>
      <patternFill patternType="solid">
        <fgColor rgb="00FFF2CC"/>
        <bgColor rgb="00FFF2CC"/>
      </patternFill>
    </fill>
    <fill>
      <patternFill patternType="solid">
        <fgColor rgb="003A3A3A"/>
        <bgColor rgb="003A3A3A"/>
      </patternFill>
    </fill>
    <fill>
      <patternFill patternType="solid">
        <fgColor rgb="00EDEDED"/>
        <bgColor rgb="00EDEDED"/>
      </patternFill>
    </fill>
    <fill>
      <patternFill patternType="solid">
        <fgColor rgb="00DEE6F2"/>
        <bgColor rgb="00DEE6F2"/>
      </patternFill>
    </fill>
    <fill>
      <patternFill patternType="solid">
        <fgColor rgb="008B0000"/>
        <bgColor rgb="008B0000"/>
      </patternFill>
    </fill>
    <fill>
      <patternFill patternType="solid">
        <fgColor rgb="00F8DCDC"/>
        <bgColor rgb="00F8DCDC"/>
      </patternFill>
    </fill>
    <fill>
      <patternFill patternType="solid">
        <fgColor rgb="0044546A"/>
        <bgColor rgb="0044546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5" fillId="3" borderId="0" applyAlignment="1" pivotButton="0" quotePrefix="0" xfId="0">
      <alignment vertical="center" indent="1"/>
    </xf>
    <xf numFmtId="0" fontId="3" fillId="4" borderId="1" applyAlignment="1" pivotButton="0" quotePrefix="0" xfId="0">
      <alignment vertical="top" wrapText="1"/>
    </xf>
    <xf numFmtId="0" fontId="5" fillId="5" borderId="0" applyAlignment="1" pivotButton="0" quotePrefix="0" xfId="0">
      <alignment vertical="center" indent="1"/>
    </xf>
    <xf numFmtId="0" fontId="3" fillId="6" borderId="1" applyAlignment="1" pivotButton="0" quotePrefix="0" xfId="0">
      <alignment vertical="top" wrapText="1"/>
    </xf>
    <xf numFmtId="0" fontId="5" fillId="7" borderId="0" applyAlignment="1" pivotButton="0" quotePrefix="0" xfId="0">
      <alignment vertical="center" indent="1"/>
    </xf>
    <xf numFmtId="0" fontId="3" fillId="8" borderId="1" applyAlignment="1" pivotButton="0" quotePrefix="0" xfId="0">
      <alignment vertical="top" wrapText="1"/>
    </xf>
    <xf numFmtId="0" fontId="5" fillId="9" borderId="0" applyAlignment="1" pivotButton="0" quotePrefix="0" xfId="0">
      <alignment vertical="center" indent="1"/>
    </xf>
    <xf numFmtId="0" fontId="3" fillId="10" borderId="1" applyAlignment="1" pivotButton="0" quotePrefix="0" xfId="0">
      <alignment vertical="top" wrapText="1"/>
    </xf>
    <xf numFmtId="0" fontId="5" fillId="11" borderId="0" applyAlignment="1" pivotButton="0" quotePrefix="0" xfId="0">
      <alignment vertical="center" indent="1"/>
    </xf>
    <xf numFmtId="0" fontId="3" fillId="12" borderId="1" applyAlignment="1" pivotButton="0" quotePrefix="0" xfId="0">
      <alignment vertical="top" wrapText="1"/>
    </xf>
    <xf numFmtId="0" fontId="1" fillId="13" borderId="0" applyAlignment="1" pivotButton="0" quotePrefix="0" xfId="0">
      <alignment vertical="center" indent="1"/>
    </xf>
    <xf numFmtId="0" fontId="2" fillId="1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vertical="top" wrapText="1"/>
    </xf>
    <xf numFmtId="0" fontId="1" fillId="15" borderId="0" applyAlignment="1" pivotButton="0" quotePrefix="0" xfId="0">
      <alignment vertical="center" indent="1"/>
    </xf>
    <xf numFmtId="0" fontId="2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vertical="top" wrapText="1"/>
    </xf>
    <xf numFmtId="0" fontId="11" fillId="0" borderId="0" pivotButton="0" quotePrefix="0" xfId="0"/>
    <xf numFmtId="0" fontId="5" fillId="2" borderId="0" applyAlignment="1" pivotButton="0" quotePrefix="0" xfId="0">
      <alignment vertical="center" indent="1"/>
    </xf>
    <xf numFmtId="0" fontId="2" fillId="2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" fontId="3" fillId="17" borderId="1" applyAlignment="1" pivotButton="0" quotePrefix="0" xfId="0">
      <alignment horizontal="center"/>
    </xf>
    <xf numFmtId="164" fontId="4" fillId="17" borderId="1" applyAlignment="1" pivotButton="0" quotePrefix="0" xfId="0">
      <alignment horizontal="center"/>
    </xf>
    <xf numFmtId="165" fontId="4" fillId="17" borderId="1" applyAlignment="1" pivotButton="0" quotePrefix="0" xfId="0">
      <alignment horizontal="center"/>
    </xf>
    <xf numFmtId="0" fontId="1" fillId="18" borderId="0" applyAlignment="1" pivotButton="0" quotePrefix="0" xfId="0">
      <alignment vertical="center" indent="1"/>
    </xf>
    <xf numFmtId="0" fontId="2" fillId="1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9" fontId="4" fillId="19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0" fontId="3" fillId="21" borderId="1" applyAlignment="1" pivotButton="0" quotePrefix="0" xfId="0">
      <alignment vertical="top" wrapText="1"/>
    </xf>
    <xf numFmtId="0" fontId="4" fillId="2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Failure Pareto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'Failure Pareto'!F3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'Failure Pareto'!$E$4:$E$15</f>
            </numRef>
          </cat>
          <val>
            <numRef>
              <f>'Failure Pareto'!$F$4:$F$15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'Failure Pareto'!G3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'Failure Pareto'!$G$4:$G$15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66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0" customHeight="1">
      <c r="A1" s="1" t="inlineStr">
        <is>
          <t>Algo toolbox: decision-making algorithms for engineering projects</t>
        </is>
      </c>
    </row>
    <row r="2" ht="32" customHeight="1">
      <c r="A2" s="2" t="inlineStr">
        <is>
          <t>Item</t>
        </is>
      </c>
      <c r="B2" s="2" t="inlineStr">
        <is>
          <t>Meaning</t>
        </is>
      </c>
    </row>
    <row r="3" ht="51" customHeight="1">
      <c r="A3" s="3" t="inlineStr">
        <is>
          <t>Purpose</t>
        </is>
      </c>
      <c r="B3" s="4" t="inlineStr">
        <is>
          <t>One place for the thinking and quality algorithms every project uses: Six Sigma (DMAIC), statistics, and computational thinking, cross-walked to each other. This is the decision algorithm the projects improve over time.</t>
        </is>
      </c>
    </row>
    <row r="4" ht="51" customHeight="1">
      <c r="A4" s="3" t="inlineStr">
        <is>
          <t>How to use</t>
        </is>
      </c>
      <c r="B4" s="4" t="inlineStr">
        <is>
          <t>Start at Crosswalk. Pick the DMAIC phase you are in, read the tool's formula and decision rule, then the computational-thinking method and statistics method it relies on. Use Decision Algorithms to pick a test or control chart. Log every failure on Failure Log and read Failure Pareto.</t>
        </is>
      </c>
    </row>
    <row r="5" ht="21" customHeight="1">
      <c r="A5" s="3" t="inlineStr">
        <is>
          <t>Source of truth</t>
        </is>
      </c>
      <c r="B5" s="4" t="inlineStr">
        <is>
          <t>toolbox_data.py. Edit there and run build_toolbox.py; never hand-edit this workbook.</t>
        </is>
      </c>
    </row>
    <row r="6" ht="36" customHeight="1">
      <c r="A6" s="3" t="inlineStr">
        <is>
          <t>Source status</t>
        </is>
      </c>
      <c r="B6" s="4" t="inlineStr">
        <is>
          <t>baseline = written from the standard method, book page cite pending extraction. extracted = taken from the owner's book with page cite. See Sources.</t>
        </is>
      </c>
    </row>
    <row r="7" ht="36" customHeight="1">
      <c r="A7" s="3" t="inlineStr">
        <is>
          <t>Improvement rule</t>
        </is>
      </c>
      <c r="B7" s="4" t="inlineStr">
        <is>
          <t>A change to this toolbox counts as improvement only when a metric on Failure Pareto (count per category per project) drops beyond its noise.</t>
        </is>
      </c>
    </row>
    <row r="9" ht="32" customHeight="1">
      <c r="A9" s="2" t="inlineStr">
        <is>
          <t>Color</t>
        </is>
      </c>
      <c r="B9" s="2" t="inlineStr">
        <is>
          <t>Meaning</t>
        </is>
      </c>
    </row>
    <row r="10" ht="21" customHeight="1">
      <c r="A10" s="5" t="inlineStr">
        <is>
          <t>Define</t>
        </is>
      </c>
      <c r="B10" s="6" t="inlineStr">
        <is>
          <t>DMAIC Define phase (band color, light rows below it)</t>
        </is>
      </c>
    </row>
    <row r="11" ht="21" customHeight="1">
      <c r="A11" s="7" t="inlineStr">
        <is>
          <t>Measure</t>
        </is>
      </c>
      <c r="B11" s="8" t="inlineStr">
        <is>
          <t>DMAIC Measure phase (band color, light rows below it)</t>
        </is>
      </c>
    </row>
    <row r="12" ht="21" customHeight="1">
      <c r="A12" s="9" t="inlineStr">
        <is>
          <t>Analyze</t>
        </is>
      </c>
      <c r="B12" s="10" t="inlineStr">
        <is>
          <t>DMAIC Analyze phase (band color, light rows below it)</t>
        </is>
      </c>
    </row>
    <row r="13" ht="21" customHeight="1">
      <c r="A13" s="11" t="inlineStr">
        <is>
          <t>Improve</t>
        </is>
      </c>
      <c r="B13" s="12" t="inlineStr">
        <is>
          <t>DMAIC Improve phase (band color, light rows below it)</t>
        </is>
      </c>
    </row>
    <row r="14" ht="21" customHeight="1">
      <c r="A14" s="13" t="inlineStr">
        <is>
          <t>Control</t>
        </is>
      </c>
      <c r="B14" s="14" t="inlineStr">
        <is>
          <t>DMAIC Control phase (band color, light rows below it)</t>
        </is>
      </c>
    </row>
    <row r="15" ht="21" customHeight="1">
      <c r="A15" s="15" t="inlineStr">
        <is>
          <t>Computational thinking</t>
        </is>
      </c>
      <c r="B15" s="16" t="inlineStr">
        <is>
          <t>Computational thinking sheet header and rows</t>
        </is>
      </c>
    </row>
    <row r="16" ht="21" customHeight="1">
      <c r="A16" s="17" t="inlineStr">
        <is>
          <t>Statistics (Moore IPS)</t>
        </is>
      </c>
      <c r="B16" s="18" t="inlineStr">
        <is>
          <t>Statistics (Moore IPS) sheet header and rows</t>
        </is>
      </c>
    </row>
    <row r="17" ht="21" customHeight="1">
      <c r="A17" s="19" t="inlineStr">
        <is>
          <t>Decision algorithms</t>
        </is>
      </c>
      <c r="B17" s="20" t="inlineStr">
        <is>
          <t>Decision algorithms sheet header and rows</t>
        </is>
      </c>
    </row>
    <row r="18" ht="21" customHeight="1">
      <c r="A18" s="21" t="inlineStr">
        <is>
          <t>Failure log and Pareto</t>
        </is>
      </c>
      <c r="B18" s="22" t="inlineStr">
        <is>
          <t>Failure log and Pareto sheet header and rows</t>
        </is>
      </c>
    </row>
  </sheetData>
  <mergeCells count="1">
    <mergeCell ref="A1:B1"/>
  </mergeCells>
  <printOptions horizontalCentered="1"/>
  <pageMargins left="0.4" right="0.4" top="0.75" bottom="0.75" header="0.3" footer="0.3"/>
  <pageSetup orientation="landscape" paperSize="1" fitToHeight="0" fitToWidth="1"/>
  <headerFooter>
    <oddHeader>&amp;C&amp;BLegend</oddHeader>
    <oddFooter>&amp;LAlgo toolbox&amp;CPage &amp;P of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2" customWidth="1" min="2" max="2"/>
    <col width="44" customWidth="1" min="3" max="3"/>
    <col width="30" customWidth="1" min="4" max="4"/>
    <col width="34" customWidth="1" min="5" max="5"/>
  </cols>
  <sheetData>
    <row r="1" ht="30" customHeight="1">
      <c r="A1" s="1" t="inlineStr">
        <is>
          <t>Crosswalk: Six Sigma (DMAIC) x computational thinking x statistics</t>
        </is>
      </c>
    </row>
    <row r="2" ht="32" customHeight="1">
      <c r="A2" s="2" t="inlineStr">
        <is>
          <t>Six Sigma tool</t>
        </is>
      </c>
      <c r="B2" s="2" t="inlineStr">
        <is>
          <t>Algorithm / formula</t>
        </is>
      </c>
      <c r="C2" s="2" t="inlineStr">
        <is>
          <t>Decision rule</t>
        </is>
      </c>
      <c r="D2" s="2" t="inlineStr">
        <is>
          <t>Computational thinking method</t>
        </is>
      </c>
      <c r="E2" s="2" t="inlineStr">
        <is>
          <t>Statistics method</t>
        </is>
      </c>
    </row>
    <row r="3" ht="24" customHeight="1">
      <c r="A3" s="23" t="inlineStr">
        <is>
          <t>DEFINE</t>
        </is>
      </c>
    </row>
    <row r="4" ht="36" customHeight="1">
      <c r="A4" s="24" t="inlineStr">
        <is>
          <t>Project charter</t>
        </is>
      </c>
      <c r="B4" s="6" t="inlineStr">
        <is>
          <t>Problem = what, where, when, how big (baseline metric). Goal = metric, baseline, target, date.</t>
        </is>
      </c>
      <c r="C4" s="6" t="inlineStr">
        <is>
          <t>Charter approved when the goal is a measurable metric with baseline and target.</t>
        </is>
      </c>
      <c r="D4" s="6" t="inlineStr">
        <is>
          <t>Abstraction
Termination and stop conditions</t>
        </is>
      </c>
      <c r="E4" s="6" t="inlineStr">
        <is>
          <t>-</t>
        </is>
      </c>
    </row>
    <row r="5" ht="36" customHeight="1">
      <c r="A5" s="24" t="inlineStr">
        <is>
          <t>SIPOC</t>
        </is>
      </c>
      <c r="B5" s="6" t="inlineStr">
        <is>
          <t>Map 5 to 7 high-level steps; list inputs and outputs per step.</t>
        </is>
      </c>
      <c r="C5" s="6" t="inlineStr">
        <is>
          <t>Scope fixed when start and end points are named.</t>
        </is>
      </c>
      <c r="D5" s="6" t="inlineStr">
        <is>
          <t>Decomposition
Abstraction</t>
        </is>
      </c>
      <c r="E5" s="6" t="inlineStr">
        <is>
          <t>-</t>
        </is>
      </c>
    </row>
    <row r="6" ht="51" customHeight="1">
      <c r="A6" s="24" t="inlineStr">
        <is>
          <t>VOC to CTQ tree</t>
        </is>
      </c>
      <c r="B6" s="6" t="inlineStr">
        <is>
          <t>Need -&gt; driver -&gt; CTQ (metric + spec limits LSL/USL).</t>
        </is>
      </c>
      <c r="C6" s="6" t="inlineStr">
        <is>
          <t>Each leaf has an operational definition and spec limits.</t>
        </is>
      </c>
      <c r="D6" s="6" t="inlineStr">
        <is>
          <t>Decomposition
Recursion
Abstraction</t>
        </is>
      </c>
      <c r="E6" s="6" t="inlineStr">
        <is>
          <t>-</t>
        </is>
      </c>
    </row>
    <row r="7" ht="36" customHeight="1">
      <c r="A7" s="24" t="inlineStr">
        <is>
          <t>Kano model</t>
        </is>
      </c>
      <c r="B7" s="6" t="inlineStr">
        <is>
          <t>Paired functional / dysfunctional survey questions -&gt; Kano category table.</t>
        </is>
      </c>
      <c r="C7" s="6" t="inlineStr">
        <is>
          <t>Basic needs are met first; performance needs are optimized.</t>
        </is>
      </c>
      <c r="D7" s="6" t="inlineStr">
        <is>
          <t>Pattern recognition
Sorting and prioritization</t>
        </is>
      </c>
      <c r="E7" s="6" t="inlineStr">
        <is>
          <t>Descriptive statistics (IPS ch. 1-2)</t>
        </is>
      </c>
    </row>
    <row r="8" ht="36" customHeight="1">
      <c r="A8" s="24" t="inlineStr">
        <is>
          <t>Cost of poor quality (COPQ)</t>
        </is>
      </c>
      <c r="B8" s="6" t="inlineStr">
        <is>
          <t>COPQ = defect rate x cost per defect x annual volume (+ appraisal + prevention).</t>
        </is>
      </c>
      <c r="C8" s="6" t="inlineStr">
        <is>
          <t>Project proceeds when COPQ exceeds project cost.</t>
        </is>
      </c>
      <c r="D8" s="6" t="inlineStr">
        <is>
          <t>Complexity and trade-offs</t>
        </is>
      </c>
      <c r="E8" s="6" t="inlineStr">
        <is>
          <t>-</t>
        </is>
      </c>
    </row>
    <row r="9" ht="24" customHeight="1">
      <c r="A9" s="25" t="inlineStr">
        <is>
          <t>MEASURE</t>
        </is>
      </c>
    </row>
    <row r="10" ht="36" customHeight="1">
      <c r="A10" s="26" t="inlineStr">
        <is>
          <t>Operational definitions</t>
        </is>
      </c>
      <c r="B10" s="8" t="inlineStr">
        <is>
          <t>Metric = what is measured + method + instrument + unit + pass/fail criterion.</t>
        </is>
      </c>
      <c r="C10" s="8" t="inlineStr">
        <is>
          <t>Two people measuring the same unit get the same answer.</t>
        </is>
      </c>
      <c r="D10" s="8" t="inlineStr">
        <is>
          <t>Abstraction
Data representation</t>
        </is>
      </c>
      <c r="E10" s="8" t="inlineStr">
        <is>
          <t>-</t>
        </is>
      </c>
    </row>
    <row r="11" ht="51" customHeight="1">
      <c r="A11" s="26" t="inlineStr">
        <is>
          <t>Data collection plan and sample size</t>
        </is>
      </c>
      <c r="B11" s="8" t="inlineStr">
        <is>
          <t>Mean: n = (z* sigma / E)^2. Proportion: n = z*^2 p(1-p) / E^2. Round up.</t>
        </is>
      </c>
      <c r="C11" s="8" t="inlineStr">
        <is>
          <t>n meets the margin of error E at the chosen confidence.</t>
        </is>
      </c>
      <c r="D11" s="8" t="inlineStr">
        <is>
          <t>Algorithm design
Data representation</t>
        </is>
      </c>
      <c r="E11" s="8" t="inlineStr">
        <is>
          <t>Sampling distributions and CLT (IPS ch. 3, 5)
Power and sample size (IPS ch. 6)</t>
        </is>
      </c>
    </row>
    <row r="12" ht="51" customHeight="1">
      <c r="A12" s="26" t="inlineStr">
        <is>
          <t>Gage R&amp;R (MSA, ANOVA method)</t>
        </is>
      </c>
      <c r="B12" s="8" t="inlineStr">
        <is>
          <t>%GRR = sigma_GRR / sigma_total x 100. %GRR to tolerance = 6 sigma_GRR / (USL - LSL) x 100. ndc = 1.41 x sigma_part / sigma_GRR, truncated to an integer.</t>
        </is>
      </c>
      <c r="C12" s="8" t="inlineStr">
        <is>
          <t>%GRR &lt; 10% accept; 10 to 30% conditional; &gt; 30% reject (AIAG). ndc &gt;= 5.</t>
        </is>
      </c>
      <c r="D12" s="8" t="inlineStr">
        <is>
          <t>Evaluation
Testing and verification</t>
        </is>
      </c>
      <c r="E12" s="8" t="inlineStr">
        <is>
          <t>Two-way ANOVA (IPS ch. 13)</t>
        </is>
      </c>
    </row>
    <row r="13" ht="66" customHeight="1">
      <c r="A13" s="26" t="inlineStr">
        <is>
          <t>Attribute agreement analysis</t>
        </is>
      </c>
      <c r="B13" s="8" t="inlineStr">
        <is>
          <t>Cohen's kappa = (p_o - p_e) / (1 - p_e); Fleiss' kappa for 3+ appraisers.</t>
        </is>
      </c>
      <c r="C13" s="8" t="inlineStr">
        <is>
          <t>kappa &gt;= 0.75 good; 0.40 to 0.75 marginal; &lt; 0.40 poor. AIAG: effectiveness &gt;= 90%, miss rate &lt;= 2%, false alarm &lt;= 5%. A chi-square test shows association, not agreement.</t>
        </is>
      </c>
      <c r="D13" s="8" t="inlineStr">
        <is>
          <t>Evaluation</t>
        </is>
      </c>
      <c r="E13" s="8" t="inlineStr">
        <is>
          <t>-</t>
        </is>
      </c>
    </row>
    <row r="14" ht="51" customHeight="1">
      <c r="A14" s="26" t="inlineStr">
        <is>
          <t>Normality check</t>
        </is>
      </c>
      <c r="B14" s="8" t="inlineStr">
        <is>
          <t>Normal probability plot; Anderson-Darling or Shapiro-Wilk test.</t>
        </is>
      </c>
      <c r="C14" s="8" t="inlineStr">
        <is>
          <t>p &gt; alpha means no evidence against normality; decide from the plot. Large n: rely on the plot. Small n: the test has little power.</t>
        </is>
      </c>
      <c r="D14" s="8" t="inlineStr">
        <is>
          <t>Pattern recognition
Evaluation</t>
        </is>
      </c>
      <c r="E14" s="8" t="inlineStr">
        <is>
          <t>Normal distribution and z (IPS ch. 1)</t>
        </is>
      </c>
    </row>
    <row r="15" ht="66" customHeight="1">
      <c r="A15" s="26" t="inlineStr">
        <is>
          <t>Baseline capability</t>
        </is>
      </c>
      <c r="B15" s="8" t="inlineStr">
        <is>
          <t>Cp = (USL - LSL) / 6 sigma_within. Cpk = min(USL - mean, mean - LSL) / 3 sigma_within. Pp, Ppk use overall sigma. sigma_within = Rbar/d2 (Xbar-R), sbar/c4 (Xbar-S), MRbar/1.128 (I-MR).</t>
        </is>
      </c>
      <c r="C15" s="8" t="inlineStr">
        <is>
          <t>Cpk &gt;= 1.33 capable; 1.00 to 1.33 marginal; &lt; 1.00 not capable. Six Sigma goal Cp 2.0, Cpk 1.5. PPAP new process: Ppk &gt;= 1.67. Requires a stable process first.</t>
        </is>
      </c>
      <c r="D15" s="8" t="inlineStr">
        <is>
          <t>Evaluation
Abstraction</t>
        </is>
      </c>
      <c r="E15" s="8" t="inlineStr">
        <is>
          <t>Process capability (IPS ch. 17 (companion))
Normal distribution and z (IPS ch. 1)</t>
        </is>
      </c>
    </row>
    <row r="16" ht="36" customHeight="1">
      <c r="A16" s="26" t="inlineStr">
        <is>
          <t>DPMO and sigma level</t>
        </is>
      </c>
      <c r="B16" s="8" t="inlineStr">
        <is>
          <t>DPMO = defects / (units x opportunities) x 10^6. Sigma level = 1.5 - NORM.S.INV(DPMO/10^6). Short-term sigma level = 3 Cpk.</t>
        </is>
      </c>
      <c r="C16" s="8" t="inlineStr">
        <is>
          <t>The 1.5 shift is the long-term convention; state it when used.</t>
        </is>
      </c>
      <c r="D16" s="8" t="inlineStr">
        <is>
          <t>Abstraction</t>
        </is>
      </c>
      <c r="E16" s="8" t="inlineStr">
        <is>
          <t>Normal distribution and z (IPS ch. 1)</t>
        </is>
      </c>
    </row>
    <row r="17" ht="24" customHeight="1">
      <c r="A17" s="27" t="inlineStr">
        <is>
          <t>ANALYZE</t>
        </is>
      </c>
    </row>
    <row r="18" ht="51" customHeight="1">
      <c r="A18" s="28" t="inlineStr">
        <is>
          <t>Pareto analysis</t>
        </is>
      </c>
      <c r="B18" s="10" t="inlineStr">
        <is>
          <t>Count per category, sort descending, cumulative % = running sum / total.</t>
        </is>
      </c>
      <c r="C18" s="10" t="inlineStr">
        <is>
          <t>Work the categories that reach about 80% cumulative first.</t>
        </is>
      </c>
      <c r="D18" s="10" t="inlineStr">
        <is>
          <t>Sorting and prioritization
Greedy strategy
Pattern recognition</t>
        </is>
      </c>
      <c r="E18" s="10" t="inlineStr">
        <is>
          <t>Descriptive statistics (IPS ch. 1-2)</t>
        </is>
      </c>
    </row>
    <row r="19" ht="36" customHeight="1">
      <c r="A19" s="28" t="inlineStr">
        <is>
          <t>Fishbone (Ishikawa)</t>
        </is>
      </c>
      <c r="B19" s="10" t="inlineStr">
        <is>
          <t>Branches: Man, Machine, Method, Material, Measurement, Mother Nature (6M).</t>
        </is>
      </c>
      <c r="C19" s="10" t="inlineStr">
        <is>
          <t>Every branch is examined before any cause is chosen.</t>
        </is>
      </c>
      <c r="D19" s="10" t="inlineStr">
        <is>
          <t>Decomposition
Breadth-first search</t>
        </is>
      </c>
      <c r="E19" s="10" t="inlineStr">
        <is>
          <t>-</t>
        </is>
      </c>
    </row>
    <row r="20" ht="51" customHeight="1">
      <c r="A20" s="28" t="inlineStr">
        <is>
          <t>5 Whys</t>
        </is>
      </c>
      <c r="B20" s="10" t="inlineStr">
        <is>
          <t>Ask why until the answer is an actionable, controllable cause.</t>
        </is>
      </c>
      <c r="C20" s="10" t="inlineStr">
        <is>
          <t>Stop at a cause you can change and verify with data.</t>
        </is>
      </c>
      <c r="D20" s="10" t="inlineStr">
        <is>
          <t>Depth-first search
Recursion
Termination and stop conditions</t>
        </is>
      </c>
      <c r="E20" s="10" t="inlineStr">
        <is>
          <t>-</t>
        </is>
      </c>
    </row>
    <row r="21" ht="66" customHeight="1">
      <c r="A21" s="28" t="inlineStr">
        <is>
          <t>FMEA</t>
        </is>
      </c>
      <c r="B21" s="10" t="inlineStr">
        <is>
          <t>RPN = Severity x Occurrence x Detection (each 1 to 10). AIAG-VDA 2019 uses Action Priority tables instead.</t>
        </is>
      </c>
      <c r="C21" s="10" t="inlineStr">
        <is>
          <t>Act on highest RPN (AIAG 4th) or High AP, review Medium AP (AIAG-VDA 2019). House rule, stricter than AIAG-VDA: any Severity 9 to 10 gets an action or a documented justification.</t>
        </is>
      </c>
      <c r="D21" s="10" t="inlineStr">
        <is>
          <t>Sorting and prioritization
Decomposition
Heuristics</t>
        </is>
      </c>
      <c r="E21" s="10" t="inlineStr">
        <is>
          <t>-</t>
        </is>
      </c>
    </row>
    <row r="22" ht="171" customHeight="1">
      <c r="A22" s="28" t="inlineStr">
        <is>
          <t>Hypothesis testing</t>
        </is>
      </c>
      <c r="B22" s="10" t="inlineStr">
        <is>
          <t>H0 vs Ha; pick the test from the Decision Algorithms sheet; compute statistic and p-value.</t>
        </is>
      </c>
      <c r="C22" s="10" t="inlineStr">
        <is>
          <t>Reject H0 when p &lt; alpha, after checking assumptions. Report the CI and effect size.</t>
        </is>
      </c>
      <c r="D22" s="10" t="inlineStr">
        <is>
          <t>Evaluation
Decision trees
Testing and verification</t>
        </is>
      </c>
      <c r="E22" s="10" t="inlineStr">
        <is>
          <t>One-sample t (CI and test) (IPS ch. 7)
Two-sample t (Welch) (IPS ch. 7)
Paired t (IPS ch. 7)
Inference for proportions (IPS ch. 8)
Chi-square test for two-way tables (IPS ch. 9)
One-way ANOVA (IPS ch. 12)
Nonparametric tests (IPS ch. 15 (companion))
Bootstrap and permutation tests (IPS ch. 16 (companion))</t>
        </is>
      </c>
    </row>
    <row r="23" ht="51" customHeight="1">
      <c r="A23" s="28" t="inlineStr">
        <is>
          <t>Correlation and regression</t>
        </is>
      </c>
      <c r="B23" s="10" t="inlineStr">
        <is>
          <t>b1 = r sy / sx; b0 = ybar - b1 xbar; R^2; t = b1 / SE(b1).</t>
        </is>
      </c>
      <c r="C23" s="10" t="inlineStr">
        <is>
          <t>Slope significant at alpha and residuals show no pattern.</t>
        </is>
      </c>
      <c r="D23" s="10" t="inlineStr">
        <is>
          <t>Modeling and simulation
Pattern recognition</t>
        </is>
      </c>
      <c r="E23" s="10" t="inlineStr">
        <is>
          <t>Simple linear regression inference (IPS ch. 10)
Multiple regression (IPS ch. 11)</t>
        </is>
      </c>
    </row>
    <row r="24" ht="36" customHeight="1">
      <c r="A24" s="28" t="inlineStr">
        <is>
          <t>Multi-vari chart</t>
        </is>
      </c>
      <c r="B24" s="10" t="inlineStr">
        <is>
          <t>Plot within-piece, piece-to-piece, and time-to-time variation together.</t>
        </is>
      </c>
      <c r="C24" s="10" t="inlineStr">
        <is>
          <t>Investigate the family with the largest spread first.</t>
        </is>
      </c>
      <c r="D24" s="10" t="inlineStr">
        <is>
          <t>Pattern recognition
Decomposition</t>
        </is>
      </c>
      <c r="E24" s="10" t="inlineStr">
        <is>
          <t>Descriptive statistics (IPS ch. 1-2)</t>
        </is>
      </c>
    </row>
    <row r="25" ht="51" customHeight="1">
      <c r="A25" s="28" t="inlineStr">
        <is>
          <t>Half-split / component search</t>
        </is>
      </c>
      <c r="B25" s="10" t="inlineStr">
        <is>
          <t>Test the midpoint; keep the failing half; repeat. Steps = ceil(log2 N).</t>
        </is>
      </c>
      <c r="C25" s="10" t="inlineStr">
        <is>
          <t>Stop when one component remains and swapping it moves the fault.</t>
        </is>
      </c>
      <c r="D25" s="10" t="inlineStr">
        <is>
          <t>Divide and conquer
Binary search
Debugging</t>
        </is>
      </c>
      <c r="E25" s="10" t="inlineStr">
        <is>
          <t>-</t>
        </is>
      </c>
    </row>
    <row r="26" ht="24" customHeight="1">
      <c r="A26" s="29" t="inlineStr">
        <is>
          <t>IMPROVE</t>
        </is>
      </c>
    </row>
    <row r="27" ht="66" customHeight="1">
      <c r="A27" s="30" t="inlineStr">
        <is>
          <t>Design of experiments (2^k factorial)</t>
        </is>
      </c>
      <c r="B27" s="12" t="inlineStr">
        <is>
          <t>Effect = mean(Y at +) - mean(Y at -); regression coefficient = effect / 2. Runs = 2^k (x replicates). ANOVA on effects.</t>
        </is>
      </c>
      <c r="C27" s="12" t="inlineStr">
        <is>
          <t>Keep factors whose effects are significant; confirm with a confirmation run.</t>
        </is>
      </c>
      <c r="D27" s="12" t="inlineStr">
        <is>
          <t>Modeling and simulation
Optimization / search over a space
Iteration
Testing and verification</t>
        </is>
      </c>
      <c r="E27" s="12" t="inlineStr">
        <is>
          <t>Two-way ANOVA (IPS ch. 13)
Multiple regression (IPS ch. 11)</t>
        </is>
      </c>
    </row>
    <row r="28" ht="51" customHeight="1">
      <c r="A28" s="30" t="inlineStr">
        <is>
          <t>Response surface / steepest ascent</t>
        </is>
      </c>
      <c r="B28" s="12" t="inlineStr">
        <is>
          <t>Move along the gradient of the fitted first-order model; fit second order near the peak.</t>
        </is>
      </c>
      <c r="C28" s="12" t="inlineStr">
        <is>
          <t>Stop when response stops improving beyond noise.</t>
        </is>
      </c>
      <c r="D28" s="12" t="inlineStr">
        <is>
          <t>Optimization / search over a space
Termination and stop conditions
Iteration</t>
        </is>
      </c>
      <c r="E28" s="12" t="inlineStr">
        <is>
          <t>Multiple regression (IPS ch. 11)</t>
        </is>
      </c>
    </row>
    <row r="29" ht="36" customHeight="1">
      <c r="A29" s="30" t="inlineStr">
        <is>
          <t>Pugh / solution selection matrix</t>
        </is>
      </c>
      <c r="B29" s="12" t="inlineStr">
        <is>
          <t>Score each option vs a datum on weighted criteria: + / S / -; sum weighted scores.</t>
        </is>
      </c>
      <c r="C29" s="12" t="inlineStr">
        <is>
          <t>Pick the highest weighted score; check for a hybrid.</t>
        </is>
      </c>
      <c r="D29" s="12" t="inlineStr">
        <is>
          <t>Sorting and prioritization
Complexity and trade-offs</t>
        </is>
      </c>
      <c r="E29" s="12" t="inlineStr">
        <is>
          <t>-</t>
        </is>
      </c>
    </row>
    <row r="30" ht="66" customHeight="1">
      <c r="A30" s="30" t="inlineStr">
        <is>
          <t>Pilot and before/after test</t>
        </is>
      </c>
      <c r="B30" s="12" t="inlineStr">
        <is>
          <t>Two-sample (Welch) t or paired t on before vs after; two-proportion z for rates. Power analysis sets n.</t>
        </is>
      </c>
      <c r="C30" s="12" t="inlineStr">
        <is>
          <t>Improvement real when p &lt; alpha and the CI excludes zero in the right direction.</t>
        </is>
      </c>
      <c r="D30" s="12" t="inlineStr">
        <is>
          <t>Evaluation
Testing and verification</t>
        </is>
      </c>
      <c r="E30" s="12" t="inlineStr">
        <is>
          <t>Two-sample t (Welch) (IPS ch. 7)
Paired t (IPS ch. 7)
Inference for proportions (IPS ch. 8)
Power and sample size (IPS ch. 6)</t>
        </is>
      </c>
    </row>
    <row r="31" ht="36" customHeight="1">
      <c r="A31" s="30" t="inlineStr">
        <is>
          <t>Poka-yoke (mistake proofing)</t>
        </is>
      </c>
      <c r="B31" s="12" t="inlineStr">
        <is>
          <t>Control (prevent) or warning (detect) device at the error source.</t>
        </is>
      </c>
      <c r="C31" s="12" t="inlineStr">
        <is>
          <t>Re-score FMEA Occurrence/Detection after install.</t>
        </is>
      </c>
      <c r="D31" s="12" t="inlineStr">
        <is>
          <t>Algorithm design
State machines</t>
        </is>
      </c>
      <c r="E31" s="12" t="inlineStr">
        <is>
          <t>-</t>
        </is>
      </c>
    </row>
    <row r="32" ht="24" customHeight="1">
      <c r="A32" s="31" t="inlineStr">
        <is>
          <t>CONTROL</t>
        </is>
      </c>
    </row>
    <row r="33" ht="36" customHeight="1">
      <c r="A33" s="32" t="inlineStr">
        <is>
          <t>Control chart selection</t>
        </is>
      </c>
      <c r="B33" s="14" t="inlineStr">
        <is>
          <t>See Decision Algorithms sheet (I-MR, Xbar-R, Xbar-S, p, np, c, u).</t>
        </is>
      </c>
      <c r="C33" s="14" t="inlineStr">
        <is>
          <t>Chart follows data type and subgroup size.</t>
        </is>
      </c>
      <c r="D33" s="14" t="inlineStr">
        <is>
          <t>Decision trees
Data representation</t>
        </is>
      </c>
      <c r="E33" s="14" t="inlineStr">
        <is>
          <t>Statistical process control (IPS ch. 17 (companion))</t>
        </is>
      </c>
    </row>
    <row r="34" ht="66" customHeight="1">
      <c r="A34" s="32" t="inlineStr">
        <is>
          <t>Xbar-R and I-MR charts</t>
        </is>
      </c>
      <c r="B34" s="14" t="inlineStr">
        <is>
          <t>Xbar-R: UCL/LCL = Xbarbar +/- A2 Rbar; R: UCL = D4 Rbar, LCL = D3 Rbar. I-MR: xbar +/- 2.66 MRbar; MR: UCL = 3.267 MRbar, LCL = 0.</t>
        </is>
      </c>
      <c r="C34" s="14" t="inlineStr">
        <is>
          <t>Western Electric: 1 point beyond 3 sigma; 2 of 3 consecutive beyond 2 sigma on the same side; 4 of 5 consecutive beyond 1 sigma on the same side; 8 consecutive on one side of the center line.</t>
        </is>
      </c>
      <c r="D34" s="14" t="inlineStr">
        <is>
          <t>Pattern recognition
Invariants</t>
        </is>
      </c>
      <c r="E34" s="14" t="inlineStr">
        <is>
          <t>Statistical process control (IPS ch. 17 (companion))</t>
        </is>
      </c>
    </row>
    <row r="35" ht="51" customHeight="1">
      <c r="A35" s="32" t="inlineStr">
        <is>
          <t>p and c charts</t>
        </is>
      </c>
      <c r="B35" s="14" t="inlineStr">
        <is>
          <t>p: pbar +/- 3 sqrt(pbar(1 - pbar)/n). c: cbar +/- 3 sqrt(cbar). LCL floors at 0.</t>
        </is>
      </c>
      <c r="C35" s="14" t="inlineStr">
        <is>
          <t>Same Western Electric rules.</t>
        </is>
      </c>
      <c r="D35" s="14" t="inlineStr">
        <is>
          <t>Pattern recognition
Invariants</t>
        </is>
      </c>
      <c r="E35" s="14" t="inlineStr">
        <is>
          <t>Statistical process control (IPS ch. 17 (companion))
Inference for proportions (IPS ch. 8)</t>
        </is>
      </c>
    </row>
    <row r="36" ht="51" customHeight="1">
      <c r="A36" s="32" t="inlineStr">
        <is>
          <t>Control plan and reaction plan</t>
        </is>
      </c>
      <c r="B36" s="14" t="inlineStr">
        <is>
          <t>Row per CTQ: spec, method, sample size, frequency, owner, reaction steps.</t>
        </is>
      </c>
      <c r="C36" s="14" t="inlineStr">
        <is>
          <t>Every out-of-control signal has a written if-then reaction.</t>
        </is>
      </c>
      <c r="D36" s="14" t="inlineStr">
        <is>
          <t>State machines
Algorithm design
Generalization</t>
        </is>
      </c>
      <c r="E36" s="14" t="inlineStr">
        <is>
          <t>-</t>
        </is>
      </c>
    </row>
    <row r="37" ht="51" customHeight="1">
      <c r="A37" s="32" t="inlineStr">
        <is>
          <t>Sustained capability and hand-off</t>
        </is>
      </c>
      <c r="B37" s="14" t="inlineStr">
        <is>
          <t>Recompute Cpk/Ppk on post-change data; compare to baseline.</t>
        </is>
      </c>
      <c r="C37" s="14" t="inlineStr">
        <is>
          <t>Close when Cpk &gt;= target for the agreed period and the owner signs.</t>
        </is>
      </c>
      <c r="D37" s="14" t="inlineStr">
        <is>
          <t>Evaluation
Generalization
Memoization / caching</t>
        </is>
      </c>
      <c r="E37" s="14" t="inlineStr">
        <is>
          <t>Process capability (IPS ch. 17 (companion))</t>
        </is>
      </c>
    </row>
  </sheetData>
  <mergeCells count="6">
    <mergeCell ref="A26:E26"/>
    <mergeCell ref="A1:E1"/>
    <mergeCell ref="A32:E32"/>
    <mergeCell ref="A17:E17"/>
    <mergeCell ref="A9:E9"/>
    <mergeCell ref="A3:E3"/>
  </mergeCells>
  <printOptions horizontalCentered="1"/>
  <pageMargins left="0.4" right="0.4" top="0.75" bottom="0.75" header="0.3" footer="0.3"/>
  <pageSetup orientation="landscape" paperSize="1" fitToHeight="0" fitToWidth="1"/>
  <headerFooter>
    <oddHeader>&amp;C&amp;BCrosswalk</oddHeader>
    <oddFooter>&amp;LAlgo toolbox&amp;CPage &amp;P of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</cols>
  <sheetData>
    <row r="1" ht="30" customHeight="1">
      <c r="A1" s="33" t="inlineStr">
        <is>
          <t>Matrix: how many Six Sigma tools in each phase use each thinking method</t>
        </is>
      </c>
    </row>
    <row r="2" ht="32" customHeight="1">
      <c r="A2" s="34" t="inlineStr">
        <is>
          <t>Computational thinking method</t>
        </is>
      </c>
      <c r="B2" s="35" t="inlineStr">
        <is>
          <t>Define</t>
        </is>
      </c>
      <c r="C2" s="36" t="inlineStr">
        <is>
          <t>Measure</t>
        </is>
      </c>
      <c r="D2" s="37" t="inlineStr">
        <is>
          <t>Analyze</t>
        </is>
      </c>
      <c r="E2" s="38" t="inlineStr">
        <is>
          <t>Improve</t>
        </is>
      </c>
      <c r="F2" s="39" t="inlineStr">
        <is>
          <t>Control</t>
        </is>
      </c>
      <c r="G2" s="34" t="inlineStr">
        <is>
          <t>Total</t>
        </is>
      </c>
    </row>
    <row r="3" ht="21" customHeight="1">
      <c r="A3" s="3" t="inlineStr">
        <is>
          <t>Decomposition</t>
        </is>
      </c>
      <c r="B3" s="40" t="n">
        <v>2</v>
      </c>
      <c r="C3" s="41" t="inlineStr"/>
      <c r="D3" s="42" t="n">
        <v>3</v>
      </c>
      <c r="E3" s="41" t="inlineStr"/>
      <c r="F3" s="41" t="inlineStr"/>
      <c r="G3" s="41">
        <f>SUM(B3:F3)</f>
        <v/>
      </c>
    </row>
    <row r="4" ht="21" customHeight="1">
      <c r="A4" s="3" t="inlineStr">
        <is>
          <t>Pattern recognition</t>
        </is>
      </c>
      <c r="B4" s="40" t="n">
        <v>1</v>
      </c>
      <c r="C4" s="43" t="n">
        <v>1</v>
      </c>
      <c r="D4" s="42" t="n">
        <v>3</v>
      </c>
      <c r="E4" s="41" t="inlineStr"/>
      <c r="F4" s="44" t="n">
        <v>2</v>
      </c>
      <c r="G4" s="41">
        <f>SUM(B4:F4)</f>
        <v/>
      </c>
    </row>
    <row r="5" ht="21" customHeight="1">
      <c r="A5" s="3" t="inlineStr">
        <is>
          <t>Abstraction</t>
        </is>
      </c>
      <c r="B5" s="40" t="n">
        <v>3</v>
      </c>
      <c r="C5" s="43" t="n">
        <v>3</v>
      </c>
      <c r="D5" s="41" t="inlineStr"/>
      <c r="E5" s="41" t="inlineStr"/>
      <c r="F5" s="41" t="inlineStr"/>
      <c r="G5" s="41">
        <f>SUM(B5:F5)</f>
        <v/>
      </c>
    </row>
    <row r="6" ht="21" customHeight="1">
      <c r="A6" s="3" t="inlineStr">
        <is>
          <t>Algorithm design</t>
        </is>
      </c>
      <c r="B6" s="41" t="inlineStr"/>
      <c r="C6" s="43" t="n">
        <v>1</v>
      </c>
      <c r="D6" s="41" t="inlineStr"/>
      <c r="E6" s="45" t="n">
        <v>1</v>
      </c>
      <c r="F6" s="44" t="n">
        <v>1</v>
      </c>
      <c r="G6" s="41">
        <f>SUM(B6:F6)</f>
        <v/>
      </c>
    </row>
    <row r="7" ht="21" customHeight="1">
      <c r="A7" s="3" t="inlineStr">
        <is>
          <t>Evaluation</t>
        </is>
      </c>
      <c r="B7" s="41" t="inlineStr"/>
      <c r="C7" s="43" t="n">
        <v>4</v>
      </c>
      <c r="D7" s="42" t="n">
        <v>1</v>
      </c>
      <c r="E7" s="45" t="n">
        <v>1</v>
      </c>
      <c r="F7" s="44" t="n">
        <v>1</v>
      </c>
      <c r="G7" s="41">
        <f>SUM(B7:F7)</f>
        <v/>
      </c>
    </row>
    <row r="8" ht="21" customHeight="1">
      <c r="A8" s="3" t="inlineStr">
        <is>
          <t>Generalization</t>
        </is>
      </c>
      <c r="B8" s="41" t="inlineStr"/>
      <c r="C8" s="41" t="inlineStr"/>
      <c r="D8" s="41" t="inlineStr"/>
      <c r="E8" s="41" t="inlineStr"/>
      <c r="F8" s="44" t="n">
        <v>2</v>
      </c>
      <c r="G8" s="41">
        <f>SUM(B8:F8)</f>
        <v/>
      </c>
    </row>
    <row r="9" ht="21" customHeight="1">
      <c r="A9" s="3" t="inlineStr">
        <is>
          <t>Iteration</t>
        </is>
      </c>
      <c r="B9" s="41" t="inlineStr"/>
      <c r="C9" s="41" t="inlineStr"/>
      <c r="D9" s="41" t="inlineStr"/>
      <c r="E9" s="45" t="n">
        <v>2</v>
      </c>
      <c r="F9" s="41" t="inlineStr"/>
      <c r="G9" s="41">
        <f>SUM(B9:F9)</f>
        <v/>
      </c>
    </row>
    <row r="10" ht="21" customHeight="1">
      <c r="A10" s="3" t="inlineStr">
        <is>
          <t>Recursion</t>
        </is>
      </c>
      <c r="B10" s="40" t="n">
        <v>1</v>
      </c>
      <c r="C10" s="41" t="inlineStr"/>
      <c r="D10" s="42" t="n">
        <v>1</v>
      </c>
      <c r="E10" s="41" t="inlineStr"/>
      <c r="F10" s="41" t="inlineStr"/>
      <c r="G10" s="41">
        <f>SUM(B10:F10)</f>
        <v/>
      </c>
    </row>
    <row r="11" ht="21" customHeight="1">
      <c r="A11" s="3" t="inlineStr">
        <is>
          <t>Termination and stop conditions</t>
        </is>
      </c>
      <c r="B11" s="40" t="n">
        <v>1</v>
      </c>
      <c r="C11" s="41" t="inlineStr"/>
      <c r="D11" s="42" t="n">
        <v>1</v>
      </c>
      <c r="E11" s="45" t="n">
        <v>1</v>
      </c>
      <c r="F11" s="41" t="inlineStr"/>
      <c r="G11" s="41">
        <f>SUM(B11:F11)</f>
        <v/>
      </c>
    </row>
    <row r="12" ht="21" customHeight="1">
      <c r="A12" s="3" t="inlineStr">
        <is>
          <t>Invariants</t>
        </is>
      </c>
      <c r="B12" s="41" t="inlineStr"/>
      <c r="C12" s="41" t="inlineStr"/>
      <c r="D12" s="41" t="inlineStr"/>
      <c r="E12" s="41" t="inlineStr"/>
      <c r="F12" s="44" t="n">
        <v>2</v>
      </c>
      <c r="G12" s="41">
        <f>SUM(B12:F12)</f>
        <v/>
      </c>
    </row>
    <row r="13" ht="21" customHeight="1">
      <c r="A13" s="3" t="inlineStr">
        <is>
          <t>Divide and conquer</t>
        </is>
      </c>
      <c r="B13" s="41" t="inlineStr"/>
      <c r="C13" s="41" t="inlineStr"/>
      <c r="D13" s="42" t="n">
        <v>1</v>
      </c>
      <c r="E13" s="41" t="inlineStr"/>
      <c r="F13" s="41" t="inlineStr"/>
      <c r="G13" s="41">
        <f>SUM(B13:F13)</f>
        <v/>
      </c>
    </row>
    <row r="14" ht="21" customHeight="1">
      <c r="A14" s="3" t="inlineStr">
        <is>
          <t>Binary search</t>
        </is>
      </c>
      <c r="B14" s="41" t="inlineStr"/>
      <c r="C14" s="41" t="inlineStr"/>
      <c r="D14" s="42" t="n">
        <v>1</v>
      </c>
      <c r="E14" s="41" t="inlineStr"/>
      <c r="F14" s="41" t="inlineStr"/>
      <c r="G14" s="41">
        <f>SUM(B14:F14)</f>
        <v/>
      </c>
    </row>
    <row r="15" ht="21" customHeight="1">
      <c r="A15" s="3" t="inlineStr">
        <is>
          <t>Breadth-first search</t>
        </is>
      </c>
      <c r="B15" s="41" t="inlineStr"/>
      <c r="C15" s="41" t="inlineStr"/>
      <c r="D15" s="42" t="n">
        <v>1</v>
      </c>
      <c r="E15" s="41" t="inlineStr"/>
      <c r="F15" s="41" t="inlineStr"/>
      <c r="G15" s="41">
        <f>SUM(B15:F15)</f>
        <v/>
      </c>
    </row>
    <row r="16" ht="21" customHeight="1">
      <c r="A16" s="3" t="inlineStr">
        <is>
          <t>Depth-first search</t>
        </is>
      </c>
      <c r="B16" s="41" t="inlineStr"/>
      <c r="C16" s="41" t="inlineStr"/>
      <c r="D16" s="42" t="n">
        <v>1</v>
      </c>
      <c r="E16" s="41" t="inlineStr"/>
      <c r="F16" s="41" t="inlineStr"/>
      <c r="G16" s="41">
        <f>SUM(B16:F16)</f>
        <v/>
      </c>
    </row>
    <row r="17" ht="21" customHeight="1">
      <c r="A17" s="3" t="inlineStr">
        <is>
          <t>Sorting and prioritization</t>
        </is>
      </c>
      <c r="B17" s="40" t="n">
        <v>1</v>
      </c>
      <c r="C17" s="41" t="inlineStr"/>
      <c r="D17" s="42" t="n">
        <v>2</v>
      </c>
      <c r="E17" s="45" t="n">
        <v>1</v>
      </c>
      <c r="F17" s="41" t="inlineStr"/>
      <c r="G17" s="41">
        <f>SUM(B17:F17)</f>
        <v/>
      </c>
    </row>
    <row r="18" ht="21" customHeight="1">
      <c r="A18" s="3" t="inlineStr">
        <is>
          <t>Greedy strategy</t>
        </is>
      </c>
      <c r="B18" s="41" t="inlineStr"/>
      <c r="C18" s="41" t="inlineStr"/>
      <c r="D18" s="42" t="n">
        <v>1</v>
      </c>
      <c r="E18" s="41" t="inlineStr"/>
      <c r="F18" s="41" t="inlineStr"/>
      <c r="G18" s="41">
        <f>SUM(B18:F18)</f>
        <v/>
      </c>
    </row>
    <row r="19" ht="21" customHeight="1">
      <c r="A19" s="3" t="inlineStr">
        <is>
          <t>Heuristics</t>
        </is>
      </c>
      <c r="B19" s="41" t="inlineStr"/>
      <c r="C19" s="41" t="inlineStr"/>
      <c r="D19" s="42" t="n">
        <v>1</v>
      </c>
      <c r="E19" s="41" t="inlineStr"/>
      <c r="F19" s="41" t="inlineStr"/>
      <c r="G19" s="41">
        <f>SUM(B19:F19)</f>
        <v/>
      </c>
    </row>
    <row r="20" ht="21" customHeight="1">
      <c r="A20" s="3" t="inlineStr">
        <is>
          <t>Decision trees</t>
        </is>
      </c>
      <c r="B20" s="41" t="inlineStr"/>
      <c r="C20" s="41" t="inlineStr"/>
      <c r="D20" s="42" t="n">
        <v>1</v>
      </c>
      <c r="E20" s="41" t="inlineStr"/>
      <c r="F20" s="44" t="n">
        <v>1</v>
      </c>
      <c r="G20" s="41">
        <f>SUM(B20:F20)</f>
        <v/>
      </c>
    </row>
    <row r="21" ht="21" customHeight="1">
      <c r="A21" s="3" t="inlineStr">
        <is>
          <t>Data representation</t>
        </is>
      </c>
      <c r="B21" s="41" t="inlineStr"/>
      <c r="C21" s="43" t="n">
        <v>2</v>
      </c>
      <c r="D21" s="41" t="inlineStr"/>
      <c r="E21" s="41" t="inlineStr"/>
      <c r="F21" s="44" t="n">
        <v>1</v>
      </c>
      <c r="G21" s="41">
        <f>SUM(B21:F21)</f>
        <v/>
      </c>
    </row>
    <row r="22" ht="21" customHeight="1">
      <c r="A22" s="3" t="inlineStr">
        <is>
          <t>Modeling and simulation</t>
        </is>
      </c>
      <c r="B22" s="41" t="inlineStr"/>
      <c r="C22" s="41" t="inlineStr"/>
      <c r="D22" s="42" t="n">
        <v>1</v>
      </c>
      <c r="E22" s="45" t="n">
        <v>1</v>
      </c>
      <c r="F22" s="41" t="inlineStr"/>
      <c r="G22" s="41">
        <f>SUM(B22:F22)</f>
        <v/>
      </c>
    </row>
    <row r="23" ht="21" customHeight="1">
      <c r="A23" s="3" t="inlineStr">
        <is>
          <t>Optimization / search over a space</t>
        </is>
      </c>
      <c r="B23" s="41" t="inlineStr"/>
      <c r="C23" s="41" t="inlineStr"/>
      <c r="D23" s="41" t="inlineStr"/>
      <c r="E23" s="45" t="n">
        <v>2</v>
      </c>
      <c r="F23" s="41" t="inlineStr"/>
      <c r="G23" s="41">
        <f>SUM(B23:F23)</f>
        <v/>
      </c>
    </row>
    <row r="24" ht="21" customHeight="1">
      <c r="A24" s="3" t="inlineStr">
        <is>
          <t>Debugging</t>
        </is>
      </c>
      <c r="B24" s="41" t="inlineStr"/>
      <c r="C24" s="41" t="inlineStr"/>
      <c r="D24" s="42" t="n">
        <v>1</v>
      </c>
      <c r="E24" s="41" t="inlineStr"/>
      <c r="F24" s="41" t="inlineStr"/>
      <c r="G24" s="41">
        <f>SUM(B24:F24)</f>
        <v/>
      </c>
    </row>
    <row r="25" ht="21" customHeight="1">
      <c r="A25" s="3" t="inlineStr">
        <is>
          <t>Testing and verification</t>
        </is>
      </c>
      <c r="B25" s="41" t="inlineStr"/>
      <c r="C25" s="43" t="n">
        <v>1</v>
      </c>
      <c r="D25" s="42" t="n">
        <v>1</v>
      </c>
      <c r="E25" s="45" t="n">
        <v>2</v>
      </c>
      <c r="F25" s="41" t="inlineStr"/>
      <c r="G25" s="41">
        <f>SUM(B25:F25)</f>
        <v/>
      </c>
    </row>
    <row r="26" ht="21" customHeight="1">
      <c r="A26" s="3" t="inlineStr">
        <is>
          <t>State machines</t>
        </is>
      </c>
      <c r="B26" s="41" t="inlineStr"/>
      <c r="C26" s="41" t="inlineStr"/>
      <c r="D26" s="41" t="inlineStr"/>
      <c r="E26" s="45" t="n">
        <v>1</v>
      </c>
      <c r="F26" s="44" t="n">
        <v>1</v>
      </c>
      <c r="G26" s="41">
        <f>SUM(B26:F26)</f>
        <v/>
      </c>
    </row>
    <row r="27" ht="21" customHeight="1">
      <c r="A27" s="3" t="inlineStr">
        <is>
          <t>Complexity and trade-offs</t>
        </is>
      </c>
      <c r="B27" s="40" t="n">
        <v>1</v>
      </c>
      <c r="C27" s="41" t="inlineStr"/>
      <c r="D27" s="41" t="inlineStr"/>
      <c r="E27" s="45" t="n">
        <v>1</v>
      </c>
      <c r="F27" s="41" t="inlineStr"/>
      <c r="G27" s="41">
        <f>SUM(B27:F27)</f>
        <v/>
      </c>
    </row>
    <row r="28" ht="21" customHeight="1">
      <c r="A28" s="3" t="inlineStr">
        <is>
          <t>Memoization / caching</t>
        </is>
      </c>
      <c r="B28" s="41" t="inlineStr"/>
      <c r="C28" s="41" t="inlineStr"/>
      <c r="D28" s="41" t="inlineStr"/>
      <c r="E28" s="41" t="inlineStr"/>
      <c r="F28" s="44" t="n">
        <v>1</v>
      </c>
      <c r="G28" s="41">
        <f>SUM(B28:F28)</f>
        <v/>
      </c>
    </row>
  </sheetData>
  <mergeCells count="1">
    <mergeCell ref="A1:G1"/>
  </mergeCells>
  <printOptions horizontalCentered="1"/>
  <pageMargins left="0.4" right="0.4" top="0.75" bottom="0.75" header="0.3" footer="0.3"/>
  <pageSetup orientation="portrait" paperSize="1" fitToHeight="1" fitToWidth="1"/>
  <headerFooter>
    <oddHeader>&amp;C&amp;BCT x DMAIC</oddHeader>
    <oddFooter>&amp;LAlgo toolbox&amp;CPage &amp;P of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  <col width="42" customWidth="1" min="4" max="4"/>
    <col width="20" customWidth="1" min="5" max="5"/>
    <col width="13" customWidth="1" min="6" max="6"/>
  </cols>
  <sheetData>
    <row r="1" ht="30" customHeight="1">
      <c r="A1" s="1" t="inlineStr">
        <is>
          <t>Six Sigma (DMAIC) tools: Black Belt reference</t>
        </is>
      </c>
    </row>
    <row r="2" ht="32" customHeight="1">
      <c r="A2" s="2" t="inlineStr">
        <is>
          <t>Tool</t>
        </is>
      </c>
      <c r="B2" s="2" t="inlineStr">
        <is>
          <t>Purpose</t>
        </is>
      </c>
      <c r="C2" s="2" t="inlineStr">
        <is>
          <t>Algorithm / formula</t>
        </is>
      </c>
      <c r="D2" s="2" t="inlineStr">
        <is>
          <t>Decision rule</t>
        </is>
      </c>
      <c r="E2" s="2" t="inlineStr">
        <is>
          <t>Output</t>
        </is>
      </c>
      <c r="F2" s="2" t="inlineStr">
        <is>
          <t>Source status</t>
        </is>
      </c>
    </row>
    <row r="3" ht="24" customHeight="1">
      <c r="A3" s="23" t="inlineStr">
        <is>
          <t>DEFINE</t>
        </is>
      </c>
    </row>
    <row r="4" ht="36" customHeight="1">
      <c r="A4" s="24" t="inlineStr">
        <is>
          <t>Project charter</t>
        </is>
      </c>
      <c r="B4" s="6" t="inlineStr">
        <is>
          <t>Fix the problem, goal, scope, and owner before work starts.</t>
        </is>
      </c>
      <c r="C4" s="6" t="inlineStr">
        <is>
          <t>Problem = what, where, when, how big (baseline metric). Goal = metric, baseline, target, date.</t>
        </is>
      </c>
      <c r="D4" s="6" t="inlineStr">
        <is>
          <t>Charter approved when the goal is a measurable metric with baseline and target.</t>
        </is>
      </c>
      <c r="E4" s="6" t="inlineStr">
        <is>
          <t>Signed charter</t>
        </is>
      </c>
      <c r="F4" s="6" t="inlineStr">
        <is>
          <t>baseline</t>
        </is>
      </c>
    </row>
    <row r="5" ht="36" customHeight="1">
      <c r="A5" s="24" t="inlineStr">
        <is>
          <t>SIPOC</t>
        </is>
      </c>
      <c r="B5" s="6" t="inlineStr">
        <is>
          <t>Bound the process: Suppliers, Inputs, Process (5 to 7 steps), Outputs, Customers.</t>
        </is>
      </c>
      <c r="C5" s="6" t="inlineStr">
        <is>
          <t>Map 5 to 7 high-level steps; list inputs and outputs per step.</t>
        </is>
      </c>
      <c r="D5" s="6" t="inlineStr">
        <is>
          <t>Scope fixed when start and end points are named.</t>
        </is>
      </c>
      <c r="E5" s="6" t="inlineStr">
        <is>
          <t>SIPOC diagram</t>
        </is>
      </c>
      <c r="F5" s="6" t="inlineStr">
        <is>
          <t>baseline</t>
        </is>
      </c>
    </row>
    <row r="6" ht="36" customHeight="1">
      <c r="A6" s="24" t="inlineStr">
        <is>
          <t>VOC to CTQ tree</t>
        </is>
      </c>
      <c r="B6" s="6" t="inlineStr">
        <is>
          <t>Turn customer needs into measurable Critical-to-Quality requirements.</t>
        </is>
      </c>
      <c r="C6" s="6" t="inlineStr">
        <is>
          <t>Need -&gt; driver -&gt; CTQ (metric + spec limits LSL/USL).</t>
        </is>
      </c>
      <c r="D6" s="6" t="inlineStr">
        <is>
          <t>Each leaf has an operational definition and spec limits.</t>
        </is>
      </c>
      <c r="E6" s="6" t="inlineStr">
        <is>
          <t>CTQ tree</t>
        </is>
      </c>
      <c r="F6" s="6" t="inlineStr">
        <is>
          <t>baseline</t>
        </is>
      </c>
    </row>
    <row r="7" ht="36" customHeight="1">
      <c r="A7" s="24" t="inlineStr">
        <is>
          <t>Kano model</t>
        </is>
      </c>
      <c r="B7" s="6" t="inlineStr">
        <is>
          <t>Classify requirements as basic, performance, or delighter.</t>
        </is>
      </c>
      <c r="C7" s="6" t="inlineStr">
        <is>
          <t>Paired functional / dysfunctional survey questions -&gt; Kano category table.</t>
        </is>
      </c>
      <c r="D7" s="6" t="inlineStr">
        <is>
          <t>Basic needs are met first; performance needs are optimized.</t>
        </is>
      </c>
      <c r="E7" s="6" t="inlineStr">
        <is>
          <t>Ranked requirement list</t>
        </is>
      </c>
      <c r="F7" s="6" t="inlineStr">
        <is>
          <t>baseline</t>
        </is>
      </c>
    </row>
    <row r="8" ht="36" customHeight="1">
      <c r="A8" s="24" t="inlineStr">
        <is>
          <t>Cost of poor quality (COPQ)</t>
        </is>
      </c>
      <c r="B8" s="6" t="inlineStr">
        <is>
          <t>Size the prize in money.</t>
        </is>
      </c>
      <c r="C8" s="6" t="inlineStr">
        <is>
          <t>COPQ = defect rate x cost per defect x annual volume (+ appraisal + prevention).</t>
        </is>
      </c>
      <c r="D8" s="6" t="inlineStr">
        <is>
          <t>Project proceeds when COPQ exceeds project cost.</t>
        </is>
      </c>
      <c r="E8" s="6" t="inlineStr">
        <is>
          <t>COPQ estimate</t>
        </is>
      </c>
      <c r="F8" s="6" t="inlineStr">
        <is>
          <t>baseline</t>
        </is>
      </c>
    </row>
    <row r="9" ht="24" customHeight="1">
      <c r="A9" s="25" t="inlineStr">
        <is>
          <t>MEASURE</t>
        </is>
      </c>
    </row>
    <row r="10" ht="36" customHeight="1">
      <c r="A10" s="26" t="inlineStr">
        <is>
          <t>Operational definitions</t>
        </is>
      </c>
      <c r="B10" s="8" t="inlineStr">
        <is>
          <t>Make every metric measurable the same way by anyone.</t>
        </is>
      </c>
      <c r="C10" s="8" t="inlineStr">
        <is>
          <t>Metric = what is measured + method + instrument + unit + pass/fail criterion.</t>
        </is>
      </c>
      <c r="D10" s="8" t="inlineStr">
        <is>
          <t>Two people measuring the same unit get the same answer.</t>
        </is>
      </c>
      <c r="E10" s="8" t="inlineStr">
        <is>
          <t>Definition table</t>
        </is>
      </c>
      <c r="F10" s="8" t="inlineStr">
        <is>
          <t>baseline</t>
        </is>
      </c>
    </row>
    <row r="11" ht="36" customHeight="1">
      <c r="A11" s="26" t="inlineStr">
        <is>
          <t>Data collection plan and sample size</t>
        </is>
      </c>
      <c r="B11" s="8" t="inlineStr">
        <is>
          <t>Collect enough of the right data.</t>
        </is>
      </c>
      <c r="C11" s="8" t="inlineStr">
        <is>
          <t>Mean: n = (z* sigma / E)^2. Proportion: n = z*^2 p(1-p) / E^2. Round up.</t>
        </is>
      </c>
      <c r="D11" s="8" t="inlineStr">
        <is>
          <t>n meets the margin of error E at the chosen confidence.</t>
        </is>
      </c>
      <c r="E11" s="8" t="inlineStr">
        <is>
          <t>Plan with n, frequency, owner</t>
        </is>
      </c>
      <c r="F11" s="8" t="inlineStr">
        <is>
          <t>baseline</t>
        </is>
      </c>
    </row>
    <row r="12" ht="51" customHeight="1">
      <c r="A12" s="26" t="inlineStr">
        <is>
          <t>Gage R&amp;R (MSA, ANOVA method)</t>
        </is>
      </c>
      <c r="B12" s="8" t="inlineStr">
        <is>
          <t>Prove the measurement system is good enough.</t>
        </is>
      </c>
      <c r="C12" s="8" t="inlineStr">
        <is>
          <t>%GRR = sigma_GRR / sigma_total x 100. %GRR to tolerance = 6 sigma_GRR / (USL - LSL) x 100. ndc = 1.41 x sigma_part / sigma_GRR, truncated to an integer.</t>
        </is>
      </c>
      <c r="D12" s="8" t="inlineStr">
        <is>
          <t>%GRR &lt; 10% accept; 10 to 30% conditional; &gt; 30% reject (AIAG). ndc &gt;= 5.</t>
        </is>
      </c>
      <c r="E12" s="8" t="inlineStr">
        <is>
          <t>MSA report</t>
        </is>
      </c>
      <c r="F12" s="8" t="inlineStr">
        <is>
          <t>baseline</t>
        </is>
      </c>
    </row>
    <row r="13" ht="66" customHeight="1">
      <c r="A13" s="26" t="inlineStr">
        <is>
          <t>Attribute agreement analysis</t>
        </is>
      </c>
      <c r="B13" s="8" t="inlineStr">
        <is>
          <t>Prove pass/fail judgments are consistent.</t>
        </is>
      </c>
      <c r="C13" s="8" t="inlineStr">
        <is>
          <t>Cohen's kappa = (p_o - p_e) / (1 - p_e); Fleiss' kappa for 3+ appraisers.</t>
        </is>
      </c>
      <c r="D13" s="8" t="inlineStr">
        <is>
          <t>kappa &gt;= 0.75 good; 0.40 to 0.75 marginal; &lt; 0.40 poor. AIAG: effectiveness &gt;= 90%, miss rate &lt;= 2%, false alarm &lt;= 5%. A chi-square test shows association, not agreement.</t>
        </is>
      </c>
      <c r="E13" s="8" t="inlineStr">
        <is>
          <t>Agreement report</t>
        </is>
      </c>
      <c r="F13" s="8" t="inlineStr">
        <is>
          <t>baseline</t>
        </is>
      </c>
    </row>
    <row r="14" ht="51" customHeight="1">
      <c r="A14" s="26" t="inlineStr">
        <is>
          <t>Normality check</t>
        </is>
      </c>
      <c r="B14" s="8" t="inlineStr">
        <is>
          <t>Decide whether normal-theory methods apply.</t>
        </is>
      </c>
      <c r="C14" s="8" t="inlineStr">
        <is>
          <t>Normal probability plot; Anderson-Darling or Shapiro-Wilk test.</t>
        </is>
      </c>
      <c r="D14" s="8" t="inlineStr">
        <is>
          <t>p &gt; alpha means no evidence against normality; decide from the plot. Large n: rely on the plot. Small n: the test has little power.</t>
        </is>
      </c>
      <c r="E14" s="8" t="inlineStr">
        <is>
          <t>Plot + test result</t>
        </is>
      </c>
      <c r="F14" s="8" t="inlineStr">
        <is>
          <t>baseline</t>
        </is>
      </c>
    </row>
    <row r="15" ht="66" customHeight="1">
      <c r="A15" s="26" t="inlineStr">
        <is>
          <t>Baseline capability</t>
        </is>
      </c>
      <c r="B15" s="8" t="inlineStr">
        <is>
          <t>Measure how well the process meets spec today.</t>
        </is>
      </c>
      <c r="C15" s="8" t="inlineStr">
        <is>
          <t>Cp = (USL - LSL) / 6 sigma_within. Cpk = min(USL - mean, mean - LSL) / 3 sigma_within. Pp, Ppk use overall sigma. sigma_within = Rbar/d2 (Xbar-R), sbar/c4 (Xbar-S), MRbar/1.128 (I-MR).</t>
        </is>
      </c>
      <c r="D15" s="8" t="inlineStr">
        <is>
          <t>Cpk &gt;= 1.33 capable; 1.00 to 1.33 marginal; &lt; 1.00 not capable. Six Sigma goal Cp 2.0, Cpk 1.5. PPAP new process: Ppk &gt;= 1.67. Requires a stable process first.</t>
        </is>
      </c>
      <c r="E15" s="8" t="inlineStr">
        <is>
          <t>Capability report</t>
        </is>
      </c>
      <c r="F15" s="8" t="inlineStr">
        <is>
          <t>baseline</t>
        </is>
      </c>
    </row>
    <row r="16" ht="51" customHeight="1">
      <c r="A16" s="26" t="inlineStr">
        <is>
          <t>DPMO and sigma level</t>
        </is>
      </c>
      <c r="B16" s="8" t="inlineStr">
        <is>
          <t>Express defect performance on one scale.</t>
        </is>
      </c>
      <c r="C16" s="8" t="inlineStr">
        <is>
          <t>DPMO = defects / (units x opportunities) x 10^6. Sigma level = 1.5 - NORM.S.INV(DPMO/10^6). Short-term sigma level = 3 Cpk.</t>
        </is>
      </c>
      <c r="D16" s="8" t="inlineStr">
        <is>
          <t>The 1.5 shift is the long-term convention; state it when used.</t>
        </is>
      </c>
      <c r="E16" s="8" t="inlineStr">
        <is>
          <t>Baseline sigma</t>
        </is>
      </c>
      <c r="F16" s="8" t="inlineStr">
        <is>
          <t>baseline</t>
        </is>
      </c>
    </row>
    <row r="17" ht="24" customHeight="1">
      <c r="A17" s="27" t="inlineStr">
        <is>
          <t>ANALYZE</t>
        </is>
      </c>
    </row>
    <row r="18" ht="36" customHeight="1">
      <c r="A18" s="28" t="inlineStr">
        <is>
          <t>Pareto analysis</t>
        </is>
      </c>
      <c r="B18" s="10" t="inlineStr">
        <is>
          <t>Find the vital few causes.</t>
        </is>
      </c>
      <c r="C18" s="10" t="inlineStr">
        <is>
          <t>Count per category, sort descending, cumulative % = running sum / total.</t>
        </is>
      </c>
      <c r="D18" s="10" t="inlineStr">
        <is>
          <t>Work the categories that reach about 80% cumulative first.</t>
        </is>
      </c>
      <c r="E18" s="10" t="inlineStr">
        <is>
          <t>Pareto chart</t>
        </is>
      </c>
      <c r="F18" s="10" t="inlineStr">
        <is>
          <t>baseline</t>
        </is>
      </c>
    </row>
    <row r="19" ht="36" customHeight="1">
      <c r="A19" s="28" t="inlineStr">
        <is>
          <t>Fishbone (Ishikawa)</t>
        </is>
      </c>
      <c r="B19" s="10" t="inlineStr">
        <is>
          <t>List all candidate causes by category.</t>
        </is>
      </c>
      <c r="C19" s="10" t="inlineStr">
        <is>
          <t>Branches: Man, Machine, Method, Material, Measurement, Mother Nature (6M).</t>
        </is>
      </c>
      <c r="D19" s="10" t="inlineStr">
        <is>
          <t>Every branch is examined before any cause is chosen.</t>
        </is>
      </c>
      <c r="E19" s="10" t="inlineStr">
        <is>
          <t>Cause list</t>
        </is>
      </c>
      <c r="F19" s="10" t="inlineStr">
        <is>
          <t>baseline</t>
        </is>
      </c>
    </row>
    <row r="20" ht="36" customHeight="1">
      <c r="A20" s="28" t="inlineStr">
        <is>
          <t>5 Whys</t>
        </is>
      </c>
      <c r="B20" s="10" t="inlineStr">
        <is>
          <t>Drill one cause chain to its root.</t>
        </is>
      </c>
      <c r="C20" s="10" t="inlineStr">
        <is>
          <t>Ask why until the answer is an actionable, controllable cause.</t>
        </is>
      </c>
      <c r="D20" s="10" t="inlineStr">
        <is>
          <t>Stop at a cause you can change and verify with data.</t>
        </is>
      </c>
      <c r="E20" s="10" t="inlineStr">
        <is>
          <t>Root cause chain</t>
        </is>
      </c>
      <c r="F20" s="10" t="inlineStr">
        <is>
          <t>baseline</t>
        </is>
      </c>
    </row>
    <row r="21" ht="66" customHeight="1">
      <c r="A21" s="28" t="inlineStr">
        <is>
          <t>FMEA</t>
        </is>
      </c>
      <c r="B21" s="10" t="inlineStr">
        <is>
          <t>Rank failure modes by risk.</t>
        </is>
      </c>
      <c r="C21" s="10" t="inlineStr">
        <is>
          <t>RPN = Severity x Occurrence x Detection (each 1 to 10). AIAG-VDA 2019 uses Action Priority tables instead.</t>
        </is>
      </c>
      <c r="D21" s="10" t="inlineStr">
        <is>
          <t>Act on highest RPN (AIAG 4th) or High AP, review Medium AP (AIAG-VDA 2019). House rule, stricter than AIAG-VDA: any Severity 9 to 10 gets an action or a documented justification.</t>
        </is>
      </c>
      <c r="E21" s="10" t="inlineStr">
        <is>
          <t>FMEA table</t>
        </is>
      </c>
      <c r="F21" s="10" t="inlineStr">
        <is>
          <t>baseline</t>
        </is>
      </c>
    </row>
    <row r="22" ht="36" customHeight="1">
      <c r="A22" s="28" t="inlineStr">
        <is>
          <t>Hypothesis testing</t>
        </is>
      </c>
      <c r="B22" s="10" t="inlineStr">
        <is>
          <t>Prove a suspected cause with data.</t>
        </is>
      </c>
      <c r="C22" s="10" t="inlineStr">
        <is>
          <t>H0 vs Ha; pick the test from the Decision Algorithms sheet; compute statistic and p-value.</t>
        </is>
      </c>
      <c r="D22" s="10" t="inlineStr">
        <is>
          <t>Reject H0 when p &lt; alpha, after checking assumptions. Report the CI and effect size.</t>
        </is>
      </c>
      <c r="E22" s="10" t="inlineStr">
        <is>
          <t>Verified causes</t>
        </is>
      </c>
      <c r="F22" s="10" t="inlineStr">
        <is>
          <t>baseline</t>
        </is>
      </c>
    </row>
    <row r="23" ht="36" customHeight="1">
      <c r="A23" s="28" t="inlineStr">
        <is>
          <t>Correlation and regression</t>
        </is>
      </c>
      <c r="B23" s="10" t="inlineStr">
        <is>
          <t>Quantify how Y depends on X.</t>
        </is>
      </c>
      <c r="C23" s="10" t="inlineStr">
        <is>
          <t>b1 = r sy / sx; b0 = ybar - b1 xbar; R^2; t = b1 / SE(b1).</t>
        </is>
      </c>
      <c r="D23" s="10" t="inlineStr">
        <is>
          <t>Slope significant at alpha and residuals show no pattern.</t>
        </is>
      </c>
      <c r="E23" s="10" t="inlineStr">
        <is>
          <t>Y = f(X) model</t>
        </is>
      </c>
      <c r="F23" s="10" t="inlineStr">
        <is>
          <t>baseline</t>
        </is>
      </c>
    </row>
    <row r="24" ht="36" customHeight="1">
      <c r="A24" s="28" t="inlineStr">
        <is>
          <t>Multi-vari chart</t>
        </is>
      </c>
      <c r="B24" s="10" t="inlineStr">
        <is>
          <t>See which family of variation dominates.</t>
        </is>
      </c>
      <c r="C24" s="10" t="inlineStr">
        <is>
          <t>Plot within-piece, piece-to-piece, and time-to-time variation together.</t>
        </is>
      </c>
      <c r="D24" s="10" t="inlineStr">
        <is>
          <t>Investigate the family with the largest spread first.</t>
        </is>
      </c>
      <c r="E24" s="10" t="inlineStr">
        <is>
          <t>Variation family</t>
        </is>
      </c>
      <c r="F24" s="10" t="inlineStr">
        <is>
          <t>baseline</t>
        </is>
      </c>
    </row>
    <row r="25" ht="36" customHeight="1">
      <c r="A25" s="28" t="inlineStr">
        <is>
          <t>Half-split / component search</t>
        </is>
      </c>
      <c r="B25" s="10" t="inlineStr">
        <is>
          <t>Isolate the faulty stage or part fast.</t>
        </is>
      </c>
      <c r="C25" s="10" t="inlineStr">
        <is>
          <t>Test the midpoint; keep the failing half; repeat. Steps = ceil(log2 N).</t>
        </is>
      </c>
      <c r="D25" s="10" t="inlineStr">
        <is>
          <t>Stop when one component remains and swapping it moves the fault.</t>
        </is>
      </c>
      <c r="E25" s="10" t="inlineStr">
        <is>
          <t>Isolated cause</t>
        </is>
      </c>
      <c r="F25" s="10" t="inlineStr">
        <is>
          <t>baseline</t>
        </is>
      </c>
    </row>
    <row r="26" ht="24" customHeight="1">
      <c r="A26" s="29" t="inlineStr">
        <is>
          <t>IMPROVE</t>
        </is>
      </c>
    </row>
    <row r="27" ht="36" customHeight="1">
      <c r="A27" s="30" t="inlineStr">
        <is>
          <t>Design of experiments (2^k factorial)</t>
        </is>
      </c>
      <c r="B27" s="12" t="inlineStr">
        <is>
          <t>Find which factors move Y and by how much.</t>
        </is>
      </c>
      <c r="C27" s="12" t="inlineStr">
        <is>
          <t>Effect = mean(Y at +) - mean(Y at -); regression coefficient = effect / 2. Runs = 2^k (x replicates). ANOVA on effects.</t>
        </is>
      </c>
      <c r="D27" s="12" t="inlineStr">
        <is>
          <t>Keep factors whose effects are significant; confirm with a confirmation run.</t>
        </is>
      </c>
      <c r="E27" s="12" t="inlineStr">
        <is>
          <t>Optimal settings</t>
        </is>
      </c>
      <c r="F27" s="12" t="inlineStr">
        <is>
          <t>baseline</t>
        </is>
      </c>
    </row>
    <row r="28" ht="36" customHeight="1">
      <c r="A28" s="30" t="inlineStr">
        <is>
          <t>Response surface / steepest ascent</t>
        </is>
      </c>
      <c r="B28" s="12" t="inlineStr">
        <is>
          <t>Climb to the optimum setting.</t>
        </is>
      </c>
      <c r="C28" s="12" t="inlineStr">
        <is>
          <t>Move along the gradient of the fitted first-order model; fit second order near the peak.</t>
        </is>
      </c>
      <c r="D28" s="12" t="inlineStr">
        <is>
          <t>Stop when response stops improving beyond noise.</t>
        </is>
      </c>
      <c r="E28" s="12" t="inlineStr">
        <is>
          <t>Optimum</t>
        </is>
      </c>
      <c r="F28" s="12" t="inlineStr">
        <is>
          <t>baseline</t>
        </is>
      </c>
    </row>
    <row r="29" ht="36" customHeight="1">
      <c r="A29" s="30" t="inlineStr">
        <is>
          <t>Pugh / solution selection matrix</t>
        </is>
      </c>
      <c r="B29" s="12" t="inlineStr">
        <is>
          <t>Choose among solutions against criteria.</t>
        </is>
      </c>
      <c r="C29" s="12" t="inlineStr">
        <is>
          <t>Score each option vs a datum on weighted criteria: + / S / -; sum weighted scores.</t>
        </is>
      </c>
      <c r="D29" s="12" t="inlineStr">
        <is>
          <t>Pick the highest weighted score; check for a hybrid.</t>
        </is>
      </c>
      <c r="E29" s="12" t="inlineStr">
        <is>
          <t>Chosen solution</t>
        </is>
      </c>
      <c r="F29" s="12" t="inlineStr">
        <is>
          <t>baseline</t>
        </is>
      </c>
    </row>
    <row r="30" ht="36" customHeight="1">
      <c r="A30" s="30" t="inlineStr">
        <is>
          <t>Pilot and before/after test</t>
        </is>
      </c>
      <c r="B30" s="12" t="inlineStr">
        <is>
          <t>Prove the fix works.</t>
        </is>
      </c>
      <c r="C30" s="12" t="inlineStr">
        <is>
          <t>Two-sample (Welch) t or paired t on before vs after; two-proportion z for rates. Power analysis sets n.</t>
        </is>
      </c>
      <c r="D30" s="12" t="inlineStr">
        <is>
          <t>Improvement real when p &lt; alpha and the CI excludes zero in the right direction.</t>
        </is>
      </c>
      <c r="E30" s="12" t="inlineStr">
        <is>
          <t>Verified improvement</t>
        </is>
      </c>
      <c r="F30" s="12" t="inlineStr">
        <is>
          <t>baseline</t>
        </is>
      </c>
    </row>
    <row r="31" ht="36" customHeight="1">
      <c r="A31" s="30" t="inlineStr">
        <is>
          <t>Poka-yoke (mistake proofing)</t>
        </is>
      </c>
      <c r="B31" s="12" t="inlineStr">
        <is>
          <t>Make the error impossible or instantly visible.</t>
        </is>
      </c>
      <c r="C31" s="12" t="inlineStr">
        <is>
          <t>Control (prevent) or warning (detect) device at the error source.</t>
        </is>
      </c>
      <c r="D31" s="12" t="inlineStr">
        <is>
          <t>Re-score FMEA Occurrence/Detection after install.</t>
        </is>
      </c>
      <c r="E31" s="12" t="inlineStr">
        <is>
          <t>Mistake-proof device</t>
        </is>
      </c>
      <c r="F31" s="12" t="inlineStr">
        <is>
          <t>baseline</t>
        </is>
      </c>
    </row>
    <row r="32" ht="24" customHeight="1">
      <c r="A32" s="31" t="inlineStr">
        <is>
          <t>CONTROL</t>
        </is>
      </c>
    </row>
    <row r="33" ht="36" customHeight="1">
      <c r="A33" s="32" t="inlineStr">
        <is>
          <t>Control chart selection</t>
        </is>
      </c>
      <c r="B33" s="14" t="inlineStr">
        <is>
          <t>Pick the right chart for the data.</t>
        </is>
      </c>
      <c r="C33" s="14" t="inlineStr">
        <is>
          <t>See Decision Algorithms sheet (I-MR, Xbar-R, Xbar-S, p, np, c, u).</t>
        </is>
      </c>
      <c r="D33" s="14" t="inlineStr">
        <is>
          <t>Chart follows data type and subgroup size.</t>
        </is>
      </c>
      <c r="E33" s="14" t="inlineStr">
        <is>
          <t>Chosen chart</t>
        </is>
      </c>
      <c r="F33" s="14" t="inlineStr">
        <is>
          <t>baseline</t>
        </is>
      </c>
    </row>
    <row r="34" ht="66" customHeight="1">
      <c r="A34" s="32" t="inlineStr">
        <is>
          <t>Xbar-R and I-MR charts</t>
        </is>
      </c>
      <c r="B34" s="14" t="inlineStr">
        <is>
          <t>Detect when the process changes.</t>
        </is>
      </c>
      <c r="C34" s="14" t="inlineStr">
        <is>
          <t>Xbar-R: UCL/LCL = Xbarbar +/- A2 Rbar; R: UCL = D4 Rbar, LCL = D3 Rbar. I-MR: xbar +/- 2.66 MRbar; MR: UCL = 3.267 MRbar, LCL = 0.</t>
        </is>
      </c>
      <c r="D34" s="14" t="inlineStr">
        <is>
          <t>Western Electric: 1 point beyond 3 sigma; 2 of 3 consecutive beyond 2 sigma on the same side; 4 of 5 consecutive beyond 1 sigma on the same side; 8 consecutive on one side of the center line.</t>
        </is>
      </c>
      <c r="E34" s="14" t="inlineStr">
        <is>
          <t>Control chart</t>
        </is>
      </c>
      <c r="F34" s="14" t="inlineStr">
        <is>
          <t>baseline</t>
        </is>
      </c>
    </row>
    <row r="35" ht="36" customHeight="1">
      <c r="A35" s="32" t="inlineStr">
        <is>
          <t>p and c charts</t>
        </is>
      </c>
      <c r="B35" s="14" t="inlineStr">
        <is>
          <t>Monitor defective rates and defect counts.</t>
        </is>
      </c>
      <c r="C35" s="14" t="inlineStr">
        <is>
          <t>p: pbar +/- 3 sqrt(pbar(1 - pbar)/n). c: cbar +/- 3 sqrt(cbar). LCL floors at 0.</t>
        </is>
      </c>
      <c r="D35" s="14" t="inlineStr">
        <is>
          <t>Same Western Electric rules.</t>
        </is>
      </c>
      <c r="E35" s="14" t="inlineStr">
        <is>
          <t>Attribute chart</t>
        </is>
      </c>
      <c r="F35" s="14" t="inlineStr">
        <is>
          <t>baseline</t>
        </is>
      </c>
    </row>
    <row r="36" ht="36" customHeight="1">
      <c r="A36" s="32" t="inlineStr">
        <is>
          <t>Control plan and reaction plan</t>
        </is>
      </c>
      <c r="B36" s="14" t="inlineStr">
        <is>
          <t>Keep the gain: who checks what, how often, and what to do.</t>
        </is>
      </c>
      <c r="C36" s="14" t="inlineStr">
        <is>
          <t>Row per CTQ: spec, method, sample size, frequency, owner, reaction steps.</t>
        </is>
      </c>
      <c r="D36" s="14" t="inlineStr">
        <is>
          <t>Every out-of-control signal has a written if-then reaction.</t>
        </is>
      </c>
      <c r="E36" s="14" t="inlineStr">
        <is>
          <t>Control plan</t>
        </is>
      </c>
      <c r="F36" s="14" t="inlineStr">
        <is>
          <t>baseline</t>
        </is>
      </c>
    </row>
    <row r="37" ht="36" customHeight="1">
      <c r="A37" s="32" t="inlineStr">
        <is>
          <t>Sustained capability and hand-off</t>
        </is>
      </c>
      <c r="B37" s="14" t="inlineStr">
        <is>
          <t>Prove the gain holds and transfer ownership.</t>
        </is>
      </c>
      <c r="C37" s="14" t="inlineStr">
        <is>
          <t>Recompute Cpk/Ppk on post-change data; compare to baseline.</t>
        </is>
      </c>
      <c r="D37" s="14" t="inlineStr">
        <is>
          <t>Close when Cpk &gt;= target for the agreed period and the owner signs.</t>
        </is>
      </c>
      <c r="E37" s="14" t="inlineStr">
        <is>
          <t>Close-out report</t>
        </is>
      </c>
      <c r="F37" s="14" t="inlineStr">
        <is>
          <t>baseline</t>
        </is>
      </c>
    </row>
  </sheetData>
  <mergeCells count="6">
    <mergeCell ref="A1:F1"/>
    <mergeCell ref="A9:F9"/>
    <mergeCell ref="A32:F32"/>
    <mergeCell ref="A26:F26"/>
    <mergeCell ref="A17:F17"/>
    <mergeCell ref="A3:F3"/>
  </mergeCells>
  <printOptions horizontalCentered="1"/>
  <pageMargins left="0.4" right="0.4" top="0.75" bottom="0.75" header="0.3" footer="0.3"/>
  <pageSetup orientation="landscape" paperSize="1" fitToHeight="0" fitToWidth="1"/>
  <headerFooter>
    <oddHeader>&amp;C&amp;BSix Sigma</oddHeader>
    <oddFooter>&amp;LAlgo toolbox&amp;CPage &amp;P of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16" customWidth="1" min="5" max="5"/>
    <col width="34" customWidth="1" min="6" max="6"/>
    <col width="13" customWidth="1" min="7" max="7"/>
  </cols>
  <sheetData>
    <row r="1" ht="30" customHeight="1">
      <c r="A1" s="33" t="inlineStr">
        <is>
          <t>Computational thinking methods and how they apply to Six Sigma</t>
        </is>
      </c>
    </row>
    <row r="2" ht="32" customHeight="1">
      <c r="A2" s="34" t="inlineStr">
        <is>
          <t>ID</t>
        </is>
      </c>
      <c r="B2" s="34" t="inlineStr">
        <is>
          <t>Method</t>
        </is>
      </c>
      <c r="C2" s="34" t="inlineStr">
        <is>
          <t>Definition</t>
        </is>
      </c>
      <c r="D2" s="34" t="inlineStr">
        <is>
          <t>How it applies to Six Sigma</t>
        </is>
      </c>
      <c r="E2" s="34" t="inlineStr">
        <is>
          <t>DMAIC phases (from tags)</t>
        </is>
      </c>
      <c r="F2" s="34" t="inlineStr">
        <is>
          <t>Six Sigma tools that use it</t>
        </is>
      </c>
      <c r="G2" s="34" t="inlineStr">
        <is>
          <t>Source status</t>
        </is>
      </c>
    </row>
    <row r="3" ht="81" customHeight="1">
      <c r="A3" s="16" t="inlineStr">
        <is>
          <t>CT-DEC</t>
        </is>
      </c>
      <c r="B3" s="46" t="inlineStr">
        <is>
          <t>Decomposition</t>
        </is>
      </c>
      <c r="C3" s="16" t="inlineStr">
        <is>
          <t>Break a problem into smaller parts that can be solved separately.</t>
        </is>
      </c>
      <c r="D3" s="16" t="inlineStr">
        <is>
          <t>SIPOC, CTQ tree, fishbone branches, and work breakdown all decompose a process or requirement.</t>
        </is>
      </c>
      <c r="E3" s="16" t="inlineStr">
        <is>
          <t>Define, Analyze</t>
        </is>
      </c>
      <c r="F3" s="16" t="inlineStr">
        <is>
          <t>SIPOC
VOC to CTQ tree
Fishbone (Ishikawa)
FMEA
Multi-vari chart</t>
        </is>
      </c>
      <c r="G3" s="16" t="inlineStr">
        <is>
          <t>baseline</t>
        </is>
      </c>
    </row>
    <row r="4" ht="111" customHeight="1">
      <c r="A4" s="4" t="inlineStr">
        <is>
          <t>CT-PAT</t>
        </is>
      </c>
      <c r="B4" s="3" t="inlineStr">
        <is>
          <t>Pattern recognition</t>
        </is>
      </c>
      <c r="C4" s="4" t="inlineStr">
        <is>
          <t>Find similarities, trends, and regularities in data or problems.</t>
        </is>
      </c>
      <c r="D4" s="4" t="inlineStr">
        <is>
          <t>Control-chart run rules, Pareto, multi-vari, and stratification are pattern detectors over process data.</t>
        </is>
      </c>
      <c r="E4" s="4" t="inlineStr">
        <is>
          <t>Define, Measure, Analyze, Control</t>
        </is>
      </c>
      <c r="F4" s="4" t="inlineStr">
        <is>
          <t>Kano model
Normality check
Pareto analysis
Correlation and regression
Multi-vari chart
Xbar-R and I-MR charts
p and c charts</t>
        </is>
      </c>
      <c r="G4" s="4" t="inlineStr">
        <is>
          <t>baseline</t>
        </is>
      </c>
    </row>
    <row r="5" ht="96" customHeight="1">
      <c r="A5" s="16" t="inlineStr">
        <is>
          <t>CT-ABS</t>
        </is>
      </c>
      <c r="B5" s="46" t="inlineStr">
        <is>
          <t>Abstraction</t>
        </is>
      </c>
      <c r="C5" s="16" t="inlineStr">
        <is>
          <t>Keep the details that matter; drop the rest.</t>
        </is>
      </c>
      <c r="D5" s="16" t="inlineStr">
        <is>
          <t>Operational definitions, CTQ metrics, and Y = f(X) reduce a process to measurable variables.</t>
        </is>
      </c>
      <c r="E5" s="16" t="inlineStr">
        <is>
          <t>Define, Measure</t>
        </is>
      </c>
      <c r="F5" s="16" t="inlineStr">
        <is>
          <t>Project charter
SIPOC
VOC to CTQ tree
Operational definitions
Baseline capability
DPMO and sigma level</t>
        </is>
      </c>
      <c r="G5" s="16" t="inlineStr">
        <is>
          <t>baseline</t>
        </is>
      </c>
    </row>
    <row r="6" ht="51" customHeight="1">
      <c r="A6" s="4" t="inlineStr">
        <is>
          <t>CT-ALG</t>
        </is>
      </c>
      <c r="B6" s="3" t="inlineStr">
        <is>
          <t>Algorithm design</t>
        </is>
      </c>
      <c r="C6" s="4" t="inlineStr">
        <is>
          <t>Write an exact, ordered, finite set of steps that solves the problem.</t>
        </is>
      </c>
      <c r="D6" s="4" t="inlineStr">
        <is>
          <t>DMAIC itself, standard work, data collection plans, and reaction plans are algorithms.</t>
        </is>
      </c>
      <c r="E6" s="4" t="inlineStr">
        <is>
          <t>Measure, Improve, Control</t>
        </is>
      </c>
      <c r="F6" s="4" t="inlineStr">
        <is>
          <t>Data collection plan and sample size
Poka-yoke (mistake proofing)
Control plan and reaction plan</t>
        </is>
      </c>
      <c r="G6" s="4" t="inlineStr">
        <is>
          <t>baseline</t>
        </is>
      </c>
    </row>
    <row r="7" ht="111" customHeight="1">
      <c r="A7" s="16" t="inlineStr">
        <is>
          <t>CT-EVAL</t>
        </is>
      </c>
      <c r="B7" s="46" t="inlineStr">
        <is>
          <t>Evaluation</t>
        </is>
      </c>
      <c r="C7" s="16" t="inlineStr">
        <is>
          <t>Judge whether a solution is correct, efficient, and fit for purpose.</t>
        </is>
      </c>
      <c r="D7" s="16" t="inlineStr">
        <is>
          <t>Hypothesis tests, MSA, capability, and before/after tests evaluate claims with data.</t>
        </is>
      </c>
      <c r="E7" s="16" t="inlineStr">
        <is>
          <t>Measure, Analyze, Improve, Control</t>
        </is>
      </c>
      <c r="F7" s="16" t="inlineStr">
        <is>
          <t>Gage R&amp;R (MSA, ANOVA method)
Attribute agreement analysis
Normality check
Baseline capability
Hypothesis testing
Pilot and before/after test
Sustained capability and hand-off</t>
        </is>
      </c>
      <c r="G7" s="16" t="inlineStr">
        <is>
          <t>baseline</t>
        </is>
      </c>
    </row>
    <row r="8" ht="36" customHeight="1">
      <c r="A8" s="4" t="inlineStr">
        <is>
          <t>CT-GEN</t>
        </is>
      </c>
      <c r="B8" s="3" t="inlineStr">
        <is>
          <t>Generalization</t>
        </is>
      </c>
      <c r="C8" s="4" t="inlineStr">
        <is>
          <t>Adapt a solution so it solves a wider class of problems.</t>
        </is>
      </c>
      <c r="D8" s="4" t="inlineStr">
        <is>
          <t>Replicating a fix to sister processes; control plans as reusable templates.</t>
        </is>
      </c>
      <c r="E8" s="4" t="inlineStr">
        <is>
          <t>Control</t>
        </is>
      </c>
      <c r="F8" s="4" t="inlineStr">
        <is>
          <t>Control plan and reaction plan
Sustained capability and hand-off</t>
        </is>
      </c>
      <c r="G8" s="4" t="inlineStr">
        <is>
          <t>baseline</t>
        </is>
      </c>
    </row>
    <row r="9" ht="36" customHeight="1">
      <c r="A9" s="16" t="inlineStr">
        <is>
          <t>CT-ITER</t>
        </is>
      </c>
      <c r="B9" s="46" t="inlineStr">
        <is>
          <t>Iteration</t>
        </is>
      </c>
      <c r="C9" s="16" t="inlineStr">
        <is>
          <t>Repeat a step until a condition is met.</t>
        </is>
      </c>
      <c r="D9" s="16" t="inlineStr">
        <is>
          <t>PDCA cycles and sequential DOE rounds iterate toward the target.</t>
        </is>
      </c>
      <c r="E9" s="16" t="inlineStr">
        <is>
          <t>Improve</t>
        </is>
      </c>
      <c r="F9" s="16" t="inlineStr">
        <is>
          <t>Design of experiments (2^k factorial)
Response surface / steepest ascent</t>
        </is>
      </c>
      <c r="G9" s="16" t="inlineStr">
        <is>
          <t>baseline</t>
        </is>
      </c>
    </row>
    <row r="10" ht="36" customHeight="1">
      <c r="A10" s="4" t="inlineStr">
        <is>
          <t>CT-REC</t>
        </is>
      </c>
      <c r="B10" s="3" t="inlineStr">
        <is>
          <t>Recursion</t>
        </is>
      </c>
      <c r="C10" s="4" t="inlineStr">
        <is>
          <t>Solve a problem by solving smaller instances of itself, down to a base case.</t>
        </is>
      </c>
      <c r="D10" s="4" t="inlineStr">
        <is>
          <t>CTQ trees and 5 Whys recurse; the base case is a measurable CTQ or an actionable root cause.</t>
        </is>
      </c>
      <c r="E10" s="4" t="inlineStr">
        <is>
          <t>Define, Analyze</t>
        </is>
      </c>
      <c r="F10" s="4" t="inlineStr">
        <is>
          <t>VOC to CTQ tree
5 Whys</t>
        </is>
      </c>
      <c r="G10" s="4" t="inlineStr">
        <is>
          <t>baseline</t>
        </is>
      </c>
    </row>
    <row r="11" ht="51" customHeight="1">
      <c r="A11" s="16" t="inlineStr">
        <is>
          <t>CT-STOP</t>
        </is>
      </c>
      <c r="B11" s="46" t="inlineStr">
        <is>
          <t>Termination and stop conditions</t>
        </is>
      </c>
      <c r="C11" s="16" t="inlineStr">
        <is>
          <t>Every loop has a condition that guarantees it ends.</t>
        </is>
      </c>
      <c r="D11" s="16" t="inlineStr">
        <is>
          <t>Charter goals, 5 Whys stopping rule, steepest-ascent stop, and agent term limits (attempts, time, tokens).</t>
        </is>
      </c>
      <c r="E11" s="16" t="inlineStr">
        <is>
          <t>Define, Analyze, Improve</t>
        </is>
      </c>
      <c r="F11" s="16" t="inlineStr">
        <is>
          <t>Project charter
5 Whys
Response surface / steepest ascent</t>
        </is>
      </c>
      <c r="G11" s="16" t="inlineStr">
        <is>
          <t>baseline</t>
        </is>
      </c>
    </row>
    <row r="12" ht="36" customHeight="1">
      <c r="A12" s="4" t="inlineStr">
        <is>
          <t>CT-INV</t>
        </is>
      </c>
      <c r="B12" s="3" t="inlineStr">
        <is>
          <t>Invariants</t>
        </is>
      </c>
      <c r="C12" s="4" t="inlineStr">
        <is>
          <t>A property that must stay true on every pass of a loop.</t>
        </is>
      </c>
      <c r="D12" s="4" t="inlineStr">
        <is>
          <t>Control limits express the invariant 'process is stable'; a signal means the invariant broke.</t>
        </is>
      </c>
      <c r="E12" s="4" t="inlineStr">
        <is>
          <t>Control</t>
        </is>
      </c>
      <c r="F12" s="4" t="inlineStr">
        <is>
          <t>Xbar-R and I-MR charts
p and c charts</t>
        </is>
      </c>
      <c r="G12" s="4" t="inlineStr">
        <is>
          <t>baseline</t>
        </is>
      </c>
    </row>
    <row r="13" ht="36" customHeight="1">
      <c r="A13" s="16" t="inlineStr">
        <is>
          <t>CT-DIV</t>
        </is>
      </c>
      <c r="B13" s="46" t="inlineStr">
        <is>
          <t>Divide and conquer</t>
        </is>
      </c>
      <c r="C13" s="16" t="inlineStr">
        <is>
          <t>Split the problem, solve the parts, combine the answers.</t>
        </is>
      </c>
      <c r="D13" s="16" t="inlineStr">
        <is>
          <t>Half-split troubleshooting and component search split a failing system in two each step.</t>
        </is>
      </c>
      <c r="E13" s="16" t="inlineStr">
        <is>
          <t>Analyze</t>
        </is>
      </c>
      <c r="F13" s="16" t="inlineStr">
        <is>
          <t>Half-split / component search</t>
        </is>
      </c>
      <c r="G13" s="16" t="inlineStr">
        <is>
          <t>baseline</t>
        </is>
      </c>
    </row>
    <row r="14" ht="36" customHeight="1">
      <c r="A14" s="4" t="inlineStr">
        <is>
          <t>CT-BSEARCH</t>
        </is>
      </c>
      <c r="B14" s="3" t="inlineStr">
        <is>
          <t>Binary search</t>
        </is>
      </c>
      <c r="C14" s="4" t="inlineStr">
        <is>
          <t>Find a target in sorted space by halving it each step: ceil(log2 N) steps.</t>
        </is>
      </c>
      <c r="D14" s="4" t="inlineStr">
        <is>
          <t>Locating the first bad stage, lot, commit, or setting in an ordered sequence.</t>
        </is>
      </c>
      <c r="E14" s="4" t="inlineStr">
        <is>
          <t>Analyze</t>
        </is>
      </c>
      <c r="F14" s="4" t="inlineStr">
        <is>
          <t>Half-split / component search</t>
        </is>
      </c>
      <c r="G14" s="4" t="inlineStr">
        <is>
          <t>baseline</t>
        </is>
      </c>
    </row>
    <row r="15" ht="36" customHeight="1">
      <c r="A15" s="16" t="inlineStr">
        <is>
          <t>CT-BFS</t>
        </is>
      </c>
      <c r="B15" s="46" t="inlineStr">
        <is>
          <t>Breadth-first search</t>
        </is>
      </c>
      <c r="C15" s="16" t="inlineStr">
        <is>
          <t>Explore all options at one level before going deeper.</t>
        </is>
      </c>
      <c r="D15" s="16" t="inlineStr">
        <is>
          <t>Fishbone: list every category's causes before drilling any one.</t>
        </is>
      </c>
      <c r="E15" s="16" t="inlineStr">
        <is>
          <t>Analyze</t>
        </is>
      </c>
      <c r="F15" s="16" t="inlineStr">
        <is>
          <t>Fishbone (Ishikawa)</t>
        </is>
      </c>
      <c r="G15" s="16" t="inlineStr">
        <is>
          <t>baseline</t>
        </is>
      </c>
    </row>
    <row r="16" ht="36" customHeight="1">
      <c r="A16" s="4" t="inlineStr">
        <is>
          <t>CT-DFS</t>
        </is>
      </c>
      <c r="B16" s="3" t="inlineStr">
        <is>
          <t>Depth-first search</t>
        </is>
      </c>
      <c r="C16" s="4" t="inlineStr">
        <is>
          <t>Follow one path to the end before backtracking.</t>
        </is>
      </c>
      <c r="D16" s="4" t="inlineStr">
        <is>
          <t>5 Whys follows one cause chain to its root, then backtracks to the next.</t>
        </is>
      </c>
      <c r="E16" s="4" t="inlineStr">
        <is>
          <t>Analyze</t>
        </is>
      </c>
      <c r="F16" s="4" t="inlineStr">
        <is>
          <t>5 Whys</t>
        </is>
      </c>
      <c r="G16" s="4" t="inlineStr">
        <is>
          <t>baseline</t>
        </is>
      </c>
    </row>
    <row r="17" ht="66" customHeight="1">
      <c r="A17" s="16" t="inlineStr">
        <is>
          <t>CT-SORT</t>
        </is>
      </c>
      <c r="B17" s="46" t="inlineStr">
        <is>
          <t>Sorting and prioritization</t>
        </is>
      </c>
      <c r="C17" s="16" t="inlineStr">
        <is>
          <t>Order items by a key so the most important come first.</t>
        </is>
      </c>
      <c r="D17" s="16" t="inlineStr">
        <is>
          <t>Pareto, RPN ranking, Kano, and Pugh matrices are sorts by impact or score.</t>
        </is>
      </c>
      <c r="E17" s="16" t="inlineStr">
        <is>
          <t>Define, Analyze, Improve</t>
        </is>
      </c>
      <c r="F17" s="16" t="inlineStr">
        <is>
          <t>Kano model
Pareto analysis
FMEA
Pugh / solution selection matrix</t>
        </is>
      </c>
      <c r="G17" s="16" t="inlineStr">
        <is>
          <t>baseline</t>
        </is>
      </c>
    </row>
    <row r="18" ht="36" customHeight="1">
      <c r="A18" s="4" t="inlineStr">
        <is>
          <t>CT-GREEDY</t>
        </is>
      </c>
      <c r="B18" s="3" t="inlineStr">
        <is>
          <t>Greedy strategy</t>
        </is>
      </c>
      <c r="C18" s="4" t="inlineStr">
        <is>
          <t>Take the best-looking option at each step.</t>
        </is>
      </c>
      <c r="D18" s="4" t="inlineStr">
        <is>
          <t>Work the biggest Pareto bar first. Check the result: greedy can miss interactions that DOE finds.</t>
        </is>
      </c>
      <c r="E18" s="4" t="inlineStr">
        <is>
          <t>Analyze</t>
        </is>
      </c>
      <c r="F18" s="4" t="inlineStr">
        <is>
          <t>Pareto analysis</t>
        </is>
      </c>
      <c r="G18" s="4" t="inlineStr">
        <is>
          <t>baseline</t>
        </is>
      </c>
    </row>
    <row r="19" ht="36" customHeight="1">
      <c r="A19" s="16" t="inlineStr">
        <is>
          <t>CT-HEUR</t>
        </is>
      </c>
      <c r="B19" s="46" t="inlineStr">
        <is>
          <t>Heuristics</t>
        </is>
      </c>
      <c r="C19" s="16" t="inlineStr">
        <is>
          <t>Rules of thumb that are usually good enough, not guaranteed optimal.</t>
        </is>
      </c>
      <c r="D19" s="16" t="inlineStr">
        <is>
          <t>Cpk 1.33, %GRR 10/30, RPN thresholds, and the 80/20 rule are heuristics; state them as such.</t>
        </is>
      </c>
      <c r="E19" s="16" t="inlineStr">
        <is>
          <t>Analyze</t>
        </is>
      </c>
      <c r="F19" s="16" t="inlineStr">
        <is>
          <t>FMEA</t>
        </is>
      </c>
      <c r="G19" s="16" t="inlineStr">
        <is>
          <t>baseline</t>
        </is>
      </c>
    </row>
    <row r="20" ht="36" customHeight="1">
      <c r="A20" s="4" t="inlineStr">
        <is>
          <t>CT-TREE</t>
        </is>
      </c>
      <c r="B20" s="3" t="inlineStr">
        <is>
          <t>Decision trees</t>
        </is>
      </c>
      <c r="C20" s="4" t="inlineStr">
        <is>
          <t>A branching sequence of questions that leads to one action.</t>
        </is>
      </c>
      <c r="D20" s="4" t="inlineStr">
        <is>
          <t>Hypothesis-test and control-chart selection roadmaps are decision trees.</t>
        </is>
      </c>
      <c r="E20" s="4" t="inlineStr">
        <is>
          <t>Analyze, Control</t>
        </is>
      </c>
      <c r="F20" s="4" t="inlineStr">
        <is>
          <t>Hypothesis testing
Control chart selection</t>
        </is>
      </c>
      <c r="G20" s="4" t="inlineStr">
        <is>
          <t>baseline</t>
        </is>
      </c>
    </row>
    <row r="21" ht="51" customHeight="1">
      <c r="A21" s="16" t="inlineStr">
        <is>
          <t>CT-REP</t>
        </is>
      </c>
      <c r="B21" s="46" t="inlineStr">
        <is>
          <t>Data representation</t>
        </is>
      </c>
      <c r="C21" s="16" t="inlineStr">
        <is>
          <t>Choose how data is stored and typed so the right operations apply.</t>
        </is>
      </c>
      <c r="D21" s="16" t="inlineStr">
        <is>
          <t>Continuous vs attribute data decides the test and the chart; check sheets structure collection.</t>
        </is>
      </c>
      <c r="E21" s="16" t="inlineStr">
        <is>
          <t>Measure, Control</t>
        </is>
      </c>
      <c r="F21" s="16" t="inlineStr">
        <is>
          <t>Operational definitions
Data collection plan and sample size
Control chart selection</t>
        </is>
      </c>
      <c r="G21" s="16" t="inlineStr">
        <is>
          <t>baseline</t>
        </is>
      </c>
    </row>
    <row r="22" ht="36" customHeight="1">
      <c r="A22" s="4" t="inlineStr">
        <is>
          <t>CT-MODEL</t>
        </is>
      </c>
      <c r="B22" s="3" t="inlineStr">
        <is>
          <t>Modeling and simulation</t>
        </is>
      </c>
      <c r="C22" s="4" t="inlineStr">
        <is>
          <t>Build a simplified model and run it to predict behavior.</t>
        </is>
      </c>
      <c r="D22" s="4" t="inlineStr">
        <is>
          <t>Regression and DOE models; Monte Carlo tolerance stack-ups.</t>
        </is>
      </c>
      <c r="E22" s="4" t="inlineStr">
        <is>
          <t>Analyze, Improve</t>
        </is>
      </c>
      <c r="F22" s="4" t="inlineStr">
        <is>
          <t>Correlation and regression
Design of experiments (2^k factorial)</t>
        </is>
      </c>
      <c r="G22" s="4" t="inlineStr">
        <is>
          <t>baseline</t>
        </is>
      </c>
    </row>
    <row r="23" ht="36" customHeight="1">
      <c r="A23" s="16" t="inlineStr">
        <is>
          <t>CT-OPT</t>
        </is>
      </c>
      <c r="B23" s="46" t="inlineStr">
        <is>
          <t>Optimization / search over a space</t>
        </is>
      </c>
      <c r="C23" s="16" t="inlineStr">
        <is>
          <t>Find the input settings that maximize or minimize an objective.</t>
        </is>
      </c>
      <c r="D23" s="16" t="inlineStr">
        <is>
          <t>DOE and response surface methods search factor space for the optimum.</t>
        </is>
      </c>
      <c r="E23" s="16" t="inlineStr">
        <is>
          <t>Improve</t>
        </is>
      </c>
      <c r="F23" s="16" t="inlineStr">
        <is>
          <t>Design of experiments (2^k factorial)
Response surface / steepest ascent</t>
        </is>
      </c>
      <c r="G23" s="16" t="inlineStr">
        <is>
          <t>baseline</t>
        </is>
      </c>
    </row>
    <row r="24" ht="36" customHeight="1">
      <c r="A24" s="4" t="inlineStr">
        <is>
          <t>CT-DEBUG</t>
        </is>
      </c>
      <c r="B24" s="3" t="inlineStr">
        <is>
          <t>Debugging</t>
        </is>
      </c>
      <c r="C24" s="4" t="inlineStr">
        <is>
          <t>Reproduce, isolate, fix, and verify a fault.</t>
        </is>
      </c>
      <c r="D24" s="4" t="inlineStr">
        <is>
          <t>Root cause analysis is debugging a process: reproduce the defect, isolate the cause, fix, verify with data.</t>
        </is>
      </c>
      <c r="E24" s="4" t="inlineStr">
        <is>
          <t>Analyze</t>
        </is>
      </c>
      <c r="F24" s="4" t="inlineStr">
        <is>
          <t>Half-split / component search</t>
        </is>
      </c>
      <c r="G24" s="4" t="inlineStr">
        <is>
          <t>baseline</t>
        </is>
      </c>
    </row>
    <row r="25" ht="66" customHeight="1">
      <c r="A25" s="16" t="inlineStr">
        <is>
          <t>CT-TEST</t>
        </is>
      </c>
      <c r="B25" s="46" t="inlineStr">
        <is>
          <t>Testing and verification</t>
        </is>
      </c>
      <c r="C25" s="16" t="inlineStr">
        <is>
          <t>Check outputs against expected results with cases that can fail.</t>
        </is>
      </c>
      <c r="D25" s="16" t="inlineStr">
        <is>
          <t>Gage studies, confirmation runs, and before/after tests are test cases on the process.</t>
        </is>
      </c>
      <c r="E25" s="16" t="inlineStr">
        <is>
          <t>Measure, Analyze, Improve</t>
        </is>
      </c>
      <c r="F25" s="16" t="inlineStr">
        <is>
          <t>Gage R&amp;R (MSA, ANOVA method)
Hypothesis testing
Design of experiments (2^k factorial)
Pilot and before/after test</t>
        </is>
      </c>
      <c r="G25" s="16" t="inlineStr">
        <is>
          <t>baseline</t>
        </is>
      </c>
    </row>
    <row r="26" ht="36" customHeight="1">
      <c r="A26" s="4" t="inlineStr">
        <is>
          <t>CT-STATE</t>
        </is>
      </c>
      <c r="B26" s="3" t="inlineStr">
        <is>
          <t>State machines</t>
        </is>
      </c>
      <c r="C26" s="4" t="inlineStr">
        <is>
          <t>A system as a set of states and the events that move between them.</t>
        </is>
      </c>
      <c r="D26" s="4" t="inlineStr">
        <is>
          <t>Reaction plans and poka-yoke devices define states (in control, signal, contained) and transitions.</t>
        </is>
      </c>
      <c r="E26" s="4" t="inlineStr">
        <is>
          <t>Improve, Control</t>
        </is>
      </c>
      <c r="F26" s="4" t="inlineStr">
        <is>
          <t>Poka-yoke (mistake proofing)
Control plan and reaction plan</t>
        </is>
      </c>
      <c r="G26" s="4" t="inlineStr">
        <is>
          <t>baseline</t>
        </is>
      </c>
    </row>
    <row r="27" ht="36" customHeight="1">
      <c r="A27" s="16" t="inlineStr">
        <is>
          <t>CT-TRADE</t>
        </is>
      </c>
      <c r="B27" s="46" t="inlineStr">
        <is>
          <t>Complexity and trade-offs</t>
        </is>
      </c>
      <c r="C27" s="16" t="inlineStr">
        <is>
          <t>Weigh cost (time, money, effort) against benefit.</t>
        </is>
      </c>
      <c r="D27" s="16" t="inlineStr">
        <is>
          <t>COPQ, Pugh weighting, and choosing sample size vs cost.</t>
        </is>
      </c>
      <c r="E27" s="16" t="inlineStr">
        <is>
          <t>Define, Improve</t>
        </is>
      </c>
      <c r="F27" s="16" t="inlineStr">
        <is>
          <t>Cost of poor quality (COPQ)
Pugh / solution selection matrix</t>
        </is>
      </c>
      <c r="G27" s="16" t="inlineStr">
        <is>
          <t>baseline</t>
        </is>
      </c>
    </row>
    <row r="28" ht="36" customHeight="1">
      <c r="A28" s="4" t="inlineStr">
        <is>
          <t>CT-MEMO</t>
        </is>
      </c>
      <c r="B28" s="3" t="inlineStr">
        <is>
          <t>Memoization / caching</t>
        </is>
      </c>
      <c r="C28" s="4" t="inlineStr">
        <is>
          <t>Store a computed result so it is reused, not recomputed.</t>
        </is>
      </c>
      <c r="D28" s="4" t="inlineStr">
        <is>
          <t>Lessons-learned logs and the failure frequency chart reuse past root causes.</t>
        </is>
      </c>
      <c r="E28" s="4" t="inlineStr">
        <is>
          <t>Control</t>
        </is>
      </c>
      <c r="F28" s="4" t="inlineStr">
        <is>
          <t>Sustained capability and hand-off</t>
        </is>
      </c>
      <c r="G28" s="4" t="inlineStr">
        <is>
          <t>baseline</t>
        </is>
      </c>
    </row>
  </sheetData>
  <mergeCells count="1">
    <mergeCell ref="A1:G1"/>
  </mergeCells>
  <printOptions horizontalCentered="1"/>
  <pageMargins left="0.4" right="0.4" top="0.75" bottom="0.75" header="0.3" footer="0.3"/>
  <pageSetup orientation="landscape" paperSize="1" fitToHeight="0" fitToWidth="1"/>
  <headerFooter>
    <oddHeader>&amp;C&amp;BComputational Thinking</oddHeader>
    <oddFooter>&amp;LAlgo toolbox&amp;CPage &amp;P of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32" customWidth="1" min="4" max="4"/>
    <col width="48" customWidth="1" min="5" max="5"/>
    <col width="34" customWidth="1" min="6" max="6"/>
    <col width="12" customWidth="1" min="7" max="7"/>
  </cols>
  <sheetData>
    <row r="1" ht="30" customHeight="1">
      <c r="A1" s="47" t="inlineStr">
        <is>
          <t>Statistics: Moore, McCabe &amp; Craig, Introduction to the Practice of Statistics</t>
        </is>
      </c>
    </row>
    <row r="2" ht="32" customHeight="1">
      <c r="A2" s="48" t="inlineStr">
        <is>
          <t>ID</t>
        </is>
      </c>
      <c r="B2" s="48" t="inlineStr">
        <is>
          <t>Method</t>
        </is>
      </c>
      <c r="C2" s="48" t="inlineStr">
        <is>
          <t>Use when</t>
        </is>
      </c>
      <c r="D2" s="48" t="inlineStr">
        <is>
          <t>Assumptions (check them)</t>
        </is>
      </c>
      <c r="E2" s="48" t="inlineStr">
        <is>
          <t>Formula</t>
        </is>
      </c>
      <c r="F2" s="48" t="inlineStr">
        <is>
          <t>Decision rule</t>
        </is>
      </c>
      <c r="G2" s="48" t="inlineStr">
        <is>
          <t>IPS chapter*</t>
        </is>
      </c>
    </row>
    <row r="3" ht="36" customHeight="1">
      <c r="A3" s="18" t="inlineStr">
        <is>
          <t>ST-DESC</t>
        </is>
      </c>
      <c r="B3" s="49" t="inlineStr">
        <is>
          <t>Descriptive statistics</t>
        </is>
      </c>
      <c r="C3" s="18" t="inlineStr">
        <is>
          <t>Summarize a distribution.</t>
        </is>
      </c>
      <c r="D3" s="18" t="inlineStr">
        <is>
          <t>None.</t>
        </is>
      </c>
      <c r="E3" s="18" t="inlineStr">
        <is>
          <t>mean, s = sqrt(sum (x - xbar)^2 / (n - 1)); five-number summary; outlier if beyond Q1 - 1.5 IQR or Q3 + 1.5 IQR.</t>
        </is>
      </c>
      <c r="F3" s="18" t="inlineStr">
        <is>
          <t>Describe shape, center, spread, outliers before any test.</t>
        </is>
      </c>
      <c r="G3" s="18" t="inlineStr">
        <is>
          <t>1-2</t>
        </is>
      </c>
    </row>
    <row r="4" ht="36" customHeight="1">
      <c r="A4" s="4" t="inlineStr">
        <is>
          <t>ST-NORM</t>
        </is>
      </c>
      <c r="B4" s="3" t="inlineStr">
        <is>
          <t>Normal distribution and z</t>
        </is>
      </c>
      <c r="C4" s="4" t="inlineStr">
        <is>
          <t>Probabilities and percentiles for normal data.</t>
        </is>
      </c>
      <c r="D4" s="4" t="inlineStr">
        <is>
          <t>Data approximately normal (check plot).</t>
        </is>
      </c>
      <c r="E4" s="4" t="inlineStr">
        <is>
          <t>z = (x - mu) / sigma.</t>
        </is>
      </c>
      <c r="F4" s="4" t="inlineStr">
        <is>
          <t>Use the normal table or NORM.S.DIST(z, TRUE).</t>
        </is>
      </c>
      <c r="G4" s="4" t="inlineStr">
        <is>
          <t>1</t>
        </is>
      </c>
    </row>
    <row r="5" ht="36" customHeight="1">
      <c r="A5" s="18" t="inlineStr">
        <is>
          <t>ST-SAMP</t>
        </is>
      </c>
      <c r="B5" s="49" t="inlineStr">
        <is>
          <t>Sampling distributions and CLT</t>
        </is>
      </c>
      <c r="C5" s="18" t="inlineStr">
        <is>
          <t>Know how a statistic varies from sample to sample.</t>
        </is>
      </c>
      <c r="D5" s="18" t="inlineStr">
        <is>
          <t>Random sample; n large enough for CLT.</t>
        </is>
      </c>
      <c r="E5" s="18" t="inlineStr">
        <is>
          <t>SD(xbar) = sigma / sqrt(n).</t>
        </is>
      </c>
      <c r="F5" s="18" t="inlineStr">
        <is>
          <t>Larger n narrows the sampling distribution by sqrt(n).</t>
        </is>
      </c>
      <c r="G5" s="18" t="inlineStr">
        <is>
          <t>3, 5</t>
        </is>
      </c>
    </row>
    <row r="6" ht="66" customHeight="1">
      <c r="A6" s="4" t="inlineStr">
        <is>
          <t>ST-T1</t>
        </is>
      </c>
      <c r="B6" s="3" t="inlineStr">
        <is>
          <t>One-sample t (CI and test)</t>
        </is>
      </c>
      <c r="C6" s="4" t="inlineStr">
        <is>
          <t>Estimate or test one mean.</t>
        </is>
      </c>
      <c r="D6" s="4" t="inlineStr">
        <is>
          <t>Random sample. IPS guideline: n &lt; 15 needs near-normal data; n &gt;= 15 unless outliers or strong skew; n &gt;= 40 is fine even if skewed.</t>
        </is>
      </c>
      <c r="E6" s="4" t="inlineStr">
        <is>
          <t>xbar +/- t* s / sqrt(n), df = n - 1. t = (xbar - mu0) / (s / sqrt(n)).</t>
        </is>
      </c>
      <c r="F6" s="4" t="inlineStr">
        <is>
          <t>Reject H0 when p &lt; alpha.</t>
        </is>
      </c>
      <c r="G6" s="4" t="inlineStr">
        <is>
          <t>7</t>
        </is>
      </c>
    </row>
    <row r="7" ht="21" customHeight="1">
      <c r="A7" s="18" t="inlineStr">
        <is>
          <t>ST-TP</t>
        </is>
      </c>
      <c r="B7" s="49" t="inlineStr">
        <is>
          <t>Paired t</t>
        </is>
      </c>
      <c r="C7" s="18" t="inlineStr">
        <is>
          <t>Before/after on the same units.</t>
        </is>
      </c>
      <c r="D7" s="18" t="inlineStr">
        <is>
          <t>Differences approximately normal.</t>
        </is>
      </c>
      <c r="E7" s="18" t="inlineStr">
        <is>
          <t>t = dbar / (s_d / sqrt(n)), df = n - 1.</t>
        </is>
      </c>
      <c r="F7" s="18" t="inlineStr">
        <is>
          <t>Reject H0 when p &lt; alpha.</t>
        </is>
      </c>
      <c r="G7" s="18" t="inlineStr">
        <is>
          <t>7</t>
        </is>
      </c>
    </row>
    <row r="8" ht="66" customHeight="1">
      <c r="A8" s="4" t="inlineStr">
        <is>
          <t>ST-T2</t>
        </is>
      </c>
      <c r="B8" s="3" t="inlineStr">
        <is>
          <t>Two-sample t (Welch)</t>
        </is>
      </c>
      <c r="C8" s="4" t="inlineStr">
        <is>
          <t>Compare two independent means.</t>
        </is>
      </c>
      <c r="D8" s="4" t="inlineStr">
        <is>
          <t>Independent random samples. IPS guideline on n1 + n2: &lt; 15 near-normal; &gt;= 15 unless outliers or strong skew; &gt;= 40 even if skewed.</t>
        </is>
      </c>
      <c r="E8" s="4" t="inlineStr">
        <is>
          <t>t = (xbar1 - xbar2) / sqrt(s1^2/n1 + s2^2/n2); df by Welch or conservative min(n1, n2) - 1.</t>
        </is>
      </c>
      <c r="F8" s="4" t="inlineStr">
        <is>
          <t>Reject H0 when p &lt; alpha.</t>
        </is>
      </c>
      <c r="G8" s="4" t="inlineStr">
        <is>
          <t>7</t>
        </is>
      </c>
    </row>
    <row r="9" ht="81" customHeight="1">
      <c r="A9" s="18" t="inlineStr">
        <is>
          <t>ST-PROP</t>
        </is>
      </c>
      <c r="B9" s="49" t="inlineStr">
        <is>
          <t>Inference for proportions</t>
        </is>
      </c>
      <c r="C9" s="18" t="inlineStr">
        <is>
          <t>Estimate or compare defect rates.</t>
        </is>
      </c>
      <c r="D9" s="18" t="inlineStr">
        <is>
          <t>CI: successes and failures &gt;= 10 (each sample). Test: n p0 and n(1 - p0) &gt;= 10; two-sample test &gt;= 5 each. Plus-four: n &gt;= 10 (one sample) or &gt;= 5 each (two).</t>
        </is>
      </c>
      <c r="E9" s="18" t="inlineStr">
        <is>
          <t>phat +/- z* sqrt(phat(1 - phat)/n). Two-proportion z: pooled p in the test SE, unpooled SE in the CI.</t>
        </is>
      </c>
      <c r="F9" s="18" t="inlineStr">
        <is>
          <t>Reject H0 when p &lt; alpha.</t>
        </is>
      </c>
      <c r="G9" s="18" t="inlineStr">
        <is>
          <t>8</t>
        </is>
      </c>
    </row>
    <row r="10" ht="66" customHeight="1">
      <c r="A10" s="4" t="inlineStr">
        <is>
          <t>ST-CHI</t>
        </is>
      </c>
      <c r="B10" s="3" t="inlineStr">
        <is>
          <t>Chi-square test for two-way tables</t>
        </is>
      </c>
      <c r="C10" s="4" t="inlineStr">
        <is>
          <t>Test association between two categorical variables.</t>
        </is>
      </c>
      <c r="D10" s="4" t="inlineStr">
        <is>
          <t>2 x 2: all expected counts &gt;= 5. Larger tables: average expected &gt;= 5 and minimum &gt;= 1 (IPS). Otherwise Fisher's exact.</t>
        </is>
      </c>
      <c r="E10" s="4" t="inlineStr">
        <is>
          <t>X^2 = sum (O - E)^2 / E, E = row total x column total / n, df = (r - 1)(c - 1).</t>
        </is>
      </c>
      <c r="F10" s="4" t="inlineStr">
        <is>
          <t>Reject independence when p &lt; alpha.</t>
        </is>
      </c>
      <c r="G10" s="4" t="inlineStr">
        <is>
          <t>9</t>
        </is>
      </c>
    </row>
    <row r="11" ht="51" customHeight="1">
      <c r="A11" s="18" t="inlineStr">
        <is>
          <t>ST-REG</t>
        </is>
      </c>
      <c r="B11" s="49" t="inlineStr">
        <is>
          <t>Simple linear regression inference</t>
        </is>
      </c>
      <c r="C11" s="18" t="inlineStr">
        <is>
          <t>Test and estimate a straight-line relationship.</t>
        </is>
      </c>
      <c r="D11" s="18" t="inlineStr">
        <is>
          <t>Linearity, independence, normal residuals, equal variance (check residual plots).</t>
        </is>
      </c>
      <c r="E11" s="18" t="inlineStr">
        <is>
          <t>b1 = r sy / sx; t = b1 / SE(b1), df = n - 2.</t>
        </is>
      </c>
      <c r="F11" s="18" t="inlineStr">
        <is>
          <t>Slope significant when p &lt; alpha.</t>
        </is>
      </c>
      <c r="G11" s="18" t="inlineStr">
        <is>
          <t>10</t>
        </is>
      </c>
    </row>
    <row r="12" ht="36" customHeight="1">
      <c r="A12" s="4" t="inlineStr">
        <is>
          <t>ST-MREG</t>
        </is>
      </c>
      <c r="B12" s="3" t="inlineStr">
        <is>
          <t>Multiple regression</t>
        </is>
      </c>
      <c r="C12" s="4" t="inlineStr">
        <is>
          <t>Model Y from several X.</t>
        </is>
      </c>
      <c r="D12" s="4" t="inlineStr">
        <is>
          <t>As simple regression; check multicollinearity.</t>
        </is>
      </c>
      <c r="E12" s="4" t="inlineStr">
        <is>
          <t>Overall F test; t test per coefficient; R^2 and adjusted R^2.</t>
        </is>
      </c>
      <c r="F12" s="4" t="inlineStr">
        <is>
          <t>Keep terms significant at alpha that make physical sense.</t>
        </is>
      </c>
      <c r="G12" s="4" t="inlineStr">
        <is>
          <t>11</t>
        </is>
      </c>
    </row>
    <row r="13" ht="51" customHeight="1">
      <c r="A13" s="18" t="inlineStr">
        <is>
          <t>ST-ANOVA1</t>
        </is>
      </c>
      <c r="B13" s="49" t="inlineStr">
        <is>
          <t>One-way ANOVA</t>
        </is>
      </c>
      <c r="C13" s="18" t="inlineStr">
        <is>
          <t>Compare 3+ means.</t>
        </is>
      </c>
      <c r="D13" s="18" t="inlineStr">
        <is>
          <t>Independent samples, normal, equal SDs (largest/smallest s &lt; 2).</t>
        </is>
      </c>
      <c r="E13" s="18" t="inlineStr">
        <is>
          <t>F = MSG / MSE.</t>
        </is>
      </c>
      <c r="F13" s="18" t="inlineStr">
        <is>
          <t>Reject equal means when p &lt; alpha; follow with multiple comparisons (Tukey or Bonferroni).</t>
        </is>
      </c>
      <c r="G13" s="18" t="inlineStr">
        <is>
          <t>12</t>
        </is>
      </c>
    </row>
    <row r="14" ht="36" customHeight="1">
      <c r="A14" s="4" t="inlineStr">
        <is>
          <t>ST-ANOVA2</t>
        </is>
      </c>
      <c r="B14" s="3" t="inlineStr">
        <is>
          <t>Two-way ANOVA</t>
        </is>
      </c>
      <c r="C14" s="4" t="inlineStr">
        <is>
          <t>Two factors and their interaction.</t>
        </is>
      </c>
      <c r="D14" s="4" t="inlineStr">
        <is>
          <t>As one-way.</t>
        </is>
      </c>
      <c r="E14" s="4" t="inlineStr">
        <is>
          <t>Separate F tests for A, B, and A x B.</t>
        </is>
      </c>
      <c r="F14" s="4" t="inlineStr">
        <is>
          <t>Interpret the interaction first.</t>
        </is>
      </c>
      <c r="G14" s="4" t="inlineStr">
        <is>
          <t>13</t>
        </is>
      </c>
    </row>
    <row r="15" ht="36" customHeight="1">
      <c r="A15" s="18" t="inlineStr">
        <is>
          <t>ST-LOGIT</t>
        </is>
      </c>
      <c r="B15" s="49" t="inlineStr">
        <is>
          <t>Logistic regression</t>
        </is>
      </c>
      <c r="C15" s="18" t="inlineStr">
        <is>
          <t>Pass/fail Y vs continuous or several X.</t>
        </is>
      </c>
      <c r="D15" s="18" t="inlineStr">
        <is>
          <t>Independent trials; logit linear in X.</t>
        </is>
      </c>
      <c r="E15" s="18" t="inlineStr">
        <is>
          <t>log(p / (1 - p)) = b0 + b1 x; odds ratio = e^b1.</t>
        </is>
      </c>
      <c r="F15" s="18" t="inlineStr">
        <is>
          <t>Slope significant when p &lt; alpha.</t>
        </is>
      </c>
      <c r="G15" s="18" t="inlineStr">
        <is>
          <t>14 (companion)</t>
        </is>
      </c>
    </row>
    <row r="16" ht="36" customHeight="1">
      <c r="A16" s="4" t="inlineStr">
        <is>
          <t>ST-NP</t>
        </is>
      </c>
      <c r="B16" s="3" t="inlineStr">
        <is>
          <t>Nonparametric tests</t>
        </is>
      </c>
      <c r="C16" s="4" t="inlineStr">
        <is>
          <t>When normality fails and n is small.</t>
        </is>
      </c>
      <c r="D16" s="4" t="inlineStr">
        <is>
          <t>Independent samples; similar shapes for location claims.</t>
        </is>
      </c>
      <c r="E16" s="4" t="inlineStr">
        <is>
          <t>Wilcoxon rank sum, Wilcoxon signed rank, Kruskal-Wallis.</t>
        </is>
      </c>
      <c r="F16" s="4" t="inlineStr">
        <is>
          <t>Reject H0 when p &lt; alpha.</t>
        </is>
      </c>
      <c r="G16" s="4" t="inlineStr">
        <is>
          <t>15 (companion)</t>
        </is>
      </c>
    </row>
    <row r="17" ht="36" customHeight="1">
      <c r="A17" s="18" t="inlineStr">
        <is>
          <t>ST-BOOT</t>
        </is>
      </c>
      <c r="B17" s="49" t="inlineStr">
        <is>
          <t>Bootstrap and permutation tests</t>
        </is>
      </c>
      <c r="C17" s="18" t="inlineStr">
        <is>
          <t>CIs and tests without distribution assumptions.</t>
        </is>
      </c>
      <c r="D17" s="18" t="inlineStr">
        <is>
          <t>Sample represents the population.</t>
        </is>
      </c>
      <c r="E17" s="18" t="inlineStr">
        <is>
          <t>Resample with replacement B &gt;= 1000 times; percentile CI.</t>
        </is>
      </c>
      <c r="F17" s="18" t="inlineStr">
        <is>
          <t>Use when formulas do not apply.</t>
        </is>
      </c>
      <c r="G17" s="18" t="inlineStr">
        <is>
          <t>16 (companion)</t>
        </is>
      </c>
    </row>
    <row r="18" ht="36" customHeight="1">
      <c r="A18" s="4" t="inlineStr">
        <is>
          <t>ST-POWER</t>
        </is>
      </c>
      <c r="B18" s="3" t="inlineStr">
        <is>
          <t>Power and sample size</t>
        </is>
      </c>
      <c r="C18" s="4" t="inlineStr">
        <is>
          <t>Choose n before collecting data.</t>
        </is>
      </c>
      <c r="D18" s="4" t="inlineStr">
        <is>
          <t>Planned effect size and sigma.</t>
        </is>
      </c>
      <c r="E18" s="4" t="inlineStr">
        <is>
          <t>Power = P(reject H0 | Ha true); pick n for power &gt;= 0.80.</t>
        </is>
      </c>
      <c r="F18" s="4" t="inlineStr">
        <is>
          <t>Underpowered study: a non-significant result proves nothing.</t>
        </is>
      </c>
      <c r="G18" s="4" t="inlineStr">
        <is>
          <t>6</t>
        </is>
      </c>
    </row>
    <row r="19" ht="36" customHeight="1">
      <c r="A19" s="18" t="inlineStr">
        <is>
          <t>ST-SPC</t>
        </is>
      </c>
      <c r="B19" s="49" t="inlineStr">
        <is>
          <t>Statistical process control</t>
        </is>
      </c>
      <c r="C19" s="18" t="inlineStr">
        <is>
          <t>Monitor a process over time.</t>
        </is>
      </c>
      <c r="D19" s="18" t="inlineStr">
        <is>
          <t>Rational subgroups; Phase I establishes limits.</t>
        </is>
      </c>
      <c r="E19" s="18" t="inlineStr">
        <is>
          <t>3-sigma control limits from within-subgroup variation.</t>
        </is>
      </c>
      <c r="F19" s="18" t="inlineStr">
        <is>
          <t>Out-of-control signal triggers the reaction plan.</t>
        </is>
      </c>
      <c r="G19" s="18" t="inlineStr">
        <is>
          <t>17 (companion)</t>
        </is>
      </c>
    </row>
    <row r="20" ht="36" customHeight="1">
      <c r="A20" s="4" t="inlineStr">
        <is>
          <t>ST-CAP</t>
        </is>
      </c>
      <c r="B20" s="3" t="inlineStr">
        <is>
          <t>Process capability</t>
        </is>
      </c>
      <c r="C20" s="4" t="inlineStr">
        <is>
          <t>Compare process spread to spec.</t>
        </is>
      </c>
      <c r="D20" s="4" t="inlineStr">
        <is>
          <t>Process in control; distribution known (often normal).</t>
        </is>
      </c>
      <c r="E20" s="4" t="inlineStr">
        <is>
          <t>Cp, Cpk, Pp, Ppk (see Six Sigma sheet).</t>
        </is>
      </c>
      <c r="F20" s="4" t="inlineStr">
        <is>
          <t>Compute only after control is shown.</t>
        </is>
      </c>
      <c r="G20" s="4" t="inlineStr">
        <is>
          <t>17 (companion)</t>
        </is>
      </c>
    </row>
    <row r="22">
      <c r="A22" s="50" t="inlineStr">
        <is>
          <t>* Likely chapter in recent editions. Verify against the owner's edition; the stats-book extraction replaces this sheet.</t>
        </is>
      </c>
    </row>
  </sheetData>
  <mergeCells count="2">
    <mergeCell ref="A22:G22"/>
    <mergeCell ref="A1:G1"/>
  </mergeCells>
  <printOptions horizontalCentered="1"/>
  <pageMargins left="0.4" right="0.4" top="0.75" bottom="0.75" header="0.3" footer="0.3"/>
  <pageSetup orientation="landscape" paperSize="1" fitToHeight="0" fitToWidth="1"/>
  <headerFooter>
    <oddHeader>&amp;C&amp;BStatistics</oddHeader>
    <oddFooter>&amp;LAlgo toolbox&amp;CPage &amp;P of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36" customWidth="1" min="4" max="4"/>
    <col width="40" customWidth="1" min="5" max="5"/>
  </cols>
  <sheetData>
    <row r="1" ht="30" customHeight="1">
      <c r="A1" s="1" t="inlineStr">
        <is>
          <t>Decision algorithms: test selection, chart selection, project loop</t>
        </is>
      </c>
    </row>
    <row r="2" ht="24" customHeight="1">
      <c r="A2" s="51" t="inlineStr">
        <is>
          <t>1. Hypothesis test selection (check normality and equal variance first)</t>
        </is>
      </c>
    </row>
    <row r="3" ht="32" customHeight="1">
      <c r="A3" s="52" t="inlineStr">
        <is>
          <t>Y (output) type</t>
        </is>
      </c>
      <c r="B3" s="52" t="inlineStr">
        <is>
          <t>X (input) type</t>
        </is>
      </c>
      <c r="C3" s="52" t="inlineStr">
        <is>
          <t>Case</t>
        </is>
      </c>
      <c r="D3" s="52" t="inlineStr">
        <is>
          <t>Normal-theory test</t>
        </is>
      </c>
      <c r="E3" s="52" t="inlineStr">
        <is>
          <t>Nonparametric / exact alternative</t>
        </is>
      </c>
    </row>
    <row r="4" ht="21" customHeight="1">
      <c r="A4" s="4" t="inlineStr">
        <is>
          <t>Continuous</t>
        </is>
      </c>
      <c r="B4" s="4" t="inlineStr">
        <is>
          <t>None (vs target)</t>
        </is>
      </c>
      <c r="C4" s="4" t="inlineStr">
        <is>
          <t>1 sample</t>
        </is>
      </c>
      <c r="D4" s="4" t="inlineStr">
        <is>
          <t>One-sample t (ST-T1)</t>
        </is>
      </c>
      <c r="E4" s="4" t="inlineStr">
        <is>
          <t>Wilcoxon signed rank (ST-NP)</t>
        </is>
      </c>
    </row>
    <row r="5" ht="21" customHeight="1">
      <c r="A5" s="20" t="inlineStr">
        <is>
          <t>Continuous</t>
        </is>
      </c>
      <c r="B5" s="20" t="inlineStr">
        <is>
          <t>Categorical</t>
        </is>
      </c>
      <c r="C5" s="20" t="inlineStr">
        <is>
          <t>2 paired</t>
        </is>
      </c>
      <c r="D5" s="20" t="inlineStr">
        <is>
          <t>Paired t (ST-TP)</t>
        </is>
      </c>
      <c r="E5" s="20" t="inlineStr">
        <is>
          <t>Wilcoxon signed rank (ST-NP)</t>
        </is>
      </c>
    </row>
    <row r="6" ht="21" customHeight="1">
      <c r="A6" s="4" t="inlineStr">
        <is>
          <t>Continuous</t>
        </is>
      </c>
      <c r="B6" s="4" t="inlineStr">
        <is>
          <t>Categorical</t>
        </is>
      </c>
      <c r="C6" s="4" t="inlineStr">
        <is>
          <t>2 independent</t>
        </is>
      </c>
      <c r="D6" s="4" t="inlineStr">
        <is>
          <t>Welch two-sample t (ST-T2)</t>
        </is>
      </c>
      <c r="E6" s="4" t="inlineStr">
        <is>
          <t>Wilcoxon rank sum / Mann-Whitney (ST-NP)</t>
        </is>
      </c>
    </row>
    <row r="7" ht="21" customHeight="1">
      <c r="A7" s="20" t="inlineStr">
        <is>
          <t>Continuous</t>
        </is>
      </c>
      <c r="B7" s="20" t="inlineStr">
        <is>
          <t>Categorical</t>
        </is>
      </c>
      <c r="C7" s="20" t="inlineStr">
        <is>
          <t>3+ groups</t>
        </is>
      </c>
      <c r="D7" s="20" t="inlineStr">
        <is>
          <t>One-way ANOVA (ST-ANOVA1)</t>
        </is>
      </c>
      <c r="E7" s="20" t="inlineStr">
        <is>
          <t>Kruskal-Wallis (ST-NP)</t>
        </is>
      </c>
    </row>
    <row r="8" ht="36" customHeight="1">
      <c r="A8" s="4" t="inlineStr">
        <is>
          <t>Continuous</t>
        </is>
      </c>
      <c r="B8" s="4" t="inlineStr">
        <is>
          <t>Categorical</t>
        </is>
      </c>
      <c r="C8" s="4" t="inlineStr">
        <is>
          <t>2 factors</t>
        </is>
      </c>
      <c r="D8" s="4" t="inlineStr">
        <is>
          <t>Two-way ANOVA (ST-ANOVA2)</t>
        </is>
      </c>
      <c r="E8" s="4" t="inlineStr">
        <is>
          <t>Friedman (one block factor), aligned rank transform, or permutation / bootstrap (ST-BOOT)</t>
        </is>
      </c>
    </row>
    <row r="9" ht="36" customHeight="1">
      <c r="A9" s="20" t="inlineStr">
        <is>
          <t>Continuous</t>
        </is>
      </c>
      <c r="B9" s="20" t="inlineStr">
        <is>
          <t>Categorical</t>
        </is>
      </c>
      <c r="C9" s="20" t="inlineStr">
        <is>
          <t>Compare spread, 2+ groups</t>
        </is>
      </c>
      <c r="D9" s="20" t="inlineStr">
        <is>
          <t>Levene or Bonett (software); F test only if normal (IPS warns it is not robust)</t>
        </is>
      </c>
      <c r="E9" s="20" t="inlineStr">
        <is>
          <t>Permutation test on variances</t>
        </is>
      </c>
    </row>
    <row r="10" ht="21" customHeight="1">
      <c r="A10" s="4" t="inlineStr">
        <is>
          <t>Continuous</t>
        </is>
      </c>
      <c r="B10" s="4" t="inlineStr">
        <is>
          <t>Continuous</t>
        </is>
      </c>
      <c r="C10" s="4" t="inlineStr">
        <is>
          <t>1 X</t>
        </is>
      </c>
      <c r="D10" s="4" t="inlineStr">
        <is>
          <t>Simple regression (ST-REG)</t>
        </is>
      </c>
      <c r="E10" s="4" t="inlineStr">
        <is>
          <t>Spearman rank correlation</t>
        </is>
      </c>
    </row>
    <row r="11" ht="21" customHeight="1">
      <c r="A11" s="20" t="inlineStr">
        <is>
          <t>Continuous</t>
        </is>
      </c>
      <c r="B11" s="20" t="inlineStr">
        <is>
          <t>Continuous</t>
        </is>
      </c>
      <c r="C11" s="20" t="inlineStr">
        <is>
          <t>2+ X</t>
        </is>
      </c>
      <c r="D11" s="20" t="inlineStr">
        <is>
          <t>Multiple regression / DOE (ST-MREG)</t>
        </is>
      </c>
      <c r="E11" s="20" t="inlineStr">
        <is>
          <t>Bootstrap coefficients (ST-BOOT)</t>
        </is>
      </c>
    </row>
    <row r="12" ht="21" customHeight="1">
      <c r="A12" s="4" t="inlineStr">
        <is>
          <t>Attribute (pass/fail)</t>
        </is>
      </c>
      <c r="B12" s="4" t="inlineStr">
        <is>
          <t>None (vs target)</t>
        </is>
      </c>
      <c r="C12" s="4" t="inlineStr">
        <is>
          <t>1 proportion</t>
        </is>
      </c>
      <c r="D12" s="4" t="inlineStr">
        <is>
          <t>One-proportion z (ST-PROP)</t>
        </is>
      </c>
      <c r="E12" s="4" t="inlineStr">
        <is>
          <t>Exact binomial test</t>
        </is>
      </c>
    </row>
    <row r="13" ht="21" customHeight="1">
      <c r="A13" s="20" t="inlineStr">
        <is>
          <t>Attribute (pass/fail)</t>
        </is>
      </c>
      <c r="B13" s="20" t="inlineStr">
        <is>
          <t>Categorical</t>
        </is>
      </c>
      <c r="C13" s="20" t="inlineStr">
        <is>
          <t>2 groups</t>
        </is>
      </c>
      <c r="D13" s="20" t="inlineStr">
        <is>
          <t>Two-proportion z (ST-PROP)</t>
        </is>
      </c>
      <c r="E13" s="20" t="inlineStr">
        <is>
          <t>Fisher's exact test</t>
        </is>
      </c>
    </row>
    <row r="14" ht="21" customHeight="1">
      <c r="A14" s="4" t="inlineStr">
        <is>
          <t>Attribute (pass/fail)</t>
        </is>
      </c>
      <c r="B14" s="4" t="inlineStr">
        <is>
          <t>Categorical</t>
        </is>
      </c>
      <c r="C14" s="4" t="inlineStr">
        <is>
          <t>2 paired</t>
        </is>
      </c>
      <c r="D14" s="4" t="inlineStr">
        <is>
          <t>McNemar</t>
        </is>
      </c>
      <c r="E14" s="4" t="inlineStr">
        <is>
          <t>Exact binomial on discordant pairs</t>
        </is>
      </c>
    </row>
    <row r="15" ht="36" customHeight="1">
      <c r="A15" s="20" t="inlineStr">
        <is>
          <t>Attribute (counts)</t>
        </is>
      </c>
      <c r="B15" s="20" t="inlineStr">
        <is>
          <t>Categorical</t>
        </is>
      </c>
      <c r="C15" s="20" t="inlineStr">
        <is>
          <t>2+ groups (pass/fail or multi-level)</t>
        </is>
      </c>
      <c r="D15" s="20" t="inlineStr">
        <is>
          <t>Chi-square two-way table (ST-CHI)</t>
        </is>
      </c>
      <c r="E15" s="20" t="inlineStr">
        <is>
          <t>Fisher's exact test</t>
        </is>
      </c>
    </row>
    <row r="16" ht="21" customHeight="1">
      <c r="A16" s="4" t="inlineStr">
        <is>
          <t>Attribute (counts)</t>
        </is>
      </c>
      <c r="B16" s="4" t="inlineStr">
        <is>
          <t>None (vs expected shares)</t>
        </is>
      </c>
      <c r="C16" s="4" t="inlineStr">
        <is>
          <t>1 variable</t>
        </is>
      </c>
      <c r="D16" s="4" t="inlineStr">
        <is>
          <t>Chi-square goodness of fit (ST-CHI)</t>
        </is>
      </c>
      <c r="E16" s="4" t="inlineStr">
        <is>
          <t>Exact multinomial</t>
        </is>
      </c>
    </row>
    <row r="17" ht="21" customHeight="1">
      <c r="A17" s="20" t="inlineStr">
        <is>
          <t>Defect counts per unit</t>
        </is>
      </c>
      <c r="B17" s="20" t="inlineStr">
        <is>
          <t>Categorical</t>
        </is>
      </c>
      <c r="C17" s="20" t="inlineStr">
        <is>
          <t>1 or 2 rates</t>
        </is>
      </c>
      <c r="D17" s="20" t="inlineStr">
        <is>
          <t>Poisson rate test</t>
        </is>
      </c>
      <c r="E17" s="20" t="inlineStr">
        <is>
          <t>Exact Poisson</t>
        </is>
      </c>
    </row>
    <row r="18" ht="21" customHeight="1">
      <c r="A18" s="4" t="inlineStr">
        <is>
          <t>Attribute (pass/fail)</t>
        </is>
      </c>
      <c r="B18" s="4" t="inlineStr">
        <is>
          <t>Continuous</t>
        </is>
      </c>
      <c r="C18" s="4" t="inlineStr">
        <is>
          <t>1+ X</t>
        </is>
      </c>
      <c r="D18" s="4" t="inlineStr">
        <is>
          <t>Logistic regression (ST-LOGIT)</t>
        </is>
      </c>
      <c r="E18" s="4" t="inlineStr">
        <is>
          <t>Exact logistic regression</t>
        </is>
      </c>
    </row>
    <row r="20" ht="24" customHeight="1">
      <c r="A20" s="51" t="inlineStr">
        <is>
          <t>2. Control chart selection</t>
        </is>
      </c>
    </row>
    <row r="21" ht="32" customHeight="1">
      <c r="A21" s="52" t="inlineStr">
        <is>
          <t>Data type</t>
        </is>
      </c>
      <c r="B21" s="52" t="inlineStr">
        <is>
          <t>Subgroup / sample</t>
        </is>
      </c>
      <c r="C21" s="52" t="inlineStr">
        <is>
          <t>Chart</t>
        </is>
      </c>
      <c r="D21" s="52" t="inlineStr">
        <is>
          <t>Control limits</t>
        </is>
      </c>
      <c r="E21" s="52" t="inlineStr">
        <is>
          <t>Typical use</t>
        </is>
      </c>
    </row>
    <row r="22" ht="36" customHeight="1">
      <c r="A22" s="4" t="inlineStr">
        <is>
          <t>Continuous</t>
        </is>
      </c>
      <c r="B22" s="4" t="inlineStr">
        <is>
          <t>n = 1</t>
        </is>
      </c>
      <c r="C22" s="4" t="inlineStr">
        <is>
          <t>I-MR</t>
        </is>
      </c>
      <c r="D22" s="4" t="inlineStr">
        <is>
          <t>xbar +/- 2.66 MRbar; MR: UCL = 3.267 MRbar, LCL = 0</t>
        </is>
      </c>
      <c r="E22" s="4" t="inlineStr">
        <is>
          <t>One reading per period; slow or costly measurements.</t>
        </is>
      </c>
    </row>
    <row r="23" ht="21" customHeight="1">
      <c r="A23" s="20" t="inlineStr">
        <is>
          <t>Continuous</t>
        </is>
      </c>
      <c r="B23" s="20" t="inlineStr">
        <is>
          <t>2 to 9</t>
        </is>
      </c>
      <c r="C23" s="20" t="inlineStr">
        <is>
          <t>Xbar-R</t>
        </is>
      </c>
      <c r="D23" s="20" t="inlineStr">
        <is>
          <t>Xbarbar +/- A2 Rbar; R: D3 Rbar to D4 Rbar</t>
        </is>
      </c>
      <c r="E23" s="20" t="inlineStr">
        <is>
          <t>Small rational subgroups (most common).</t>
        </is>
      </c>
    </row>
    <row r="24" ht="36" customHeight="1">
      <c r="A24" s="4" t="inlineStr">
        <is>
          <t>Continuous</t>
        </is>
      </c>
      <c r="B24" s="4" t="inlineStr">
        <is>
          <t>10 or more</t>
        </is>
      </c>
      <c r="C24" s="4" t="inlineStr">
        <is>
          <t>Xbar-S</t>
        </is>
      </c>
      <c r="D24" s="4" t="inlineStr">
        <is>
          <t>Xbarbar +/- A3 sbar; S: B3 sbar to B4 sbar</t>
        </is>
      </c>
      <c r="E24" s="4" t="inlineStr">
        <is>
          <t>Large subgroups; s estimates spread better than R.</t>
        </is>
      </c>
    </row>
    <row r="25" ht="36" customHeight="1">
      <c r="A25" s="20" t="inlineStr">
        <is>
          <t>Defectives (pass/fail)</t>
        </is>
      </c>
      <c r="B25" s="20" t="inlineStr">
        <is>
          <t>Constant n</t>
        </is>
      </c>
      <c r="C25" s="20" t="inlineStr">
        <is>
          <t>np</t>
        </is>
      </c>
      <c r="D25" s="20" t="inlineStr">
        <is>
          <t>n pbar +/- 3 sqrt(n pbar (1 - pbar)); LCL floors at 0</t>
        </is>
      </c>
      <c r="E25" s="20" t="inlineStr">
        <is>
          <t>Count of defective units, fixed sample size.</t>
        </is>
      </c>
    </row>
    <row r="26" ht="36" customHeight="1">
      <c r="A26" s="4" t="inlineStr">
        <is>
          <t>Defectives (pass/fail)</t>
        </is>
      </c>
      <c r="B26" s="4" t="inlineStr">
        <is>
          <t>Varying n</t>
        </is>
      </c>
      <c r="C26" s="4" t="inlineStr">
        <is>
          <t>p</t>
        </is>
      </c>
      <c r="D26" s="4" t="inlineStr">
        <is>
          <t>pbar +/- 3 sqrt(pbar (1 - pbar) / n_i); LCL floors at 0</t>
        </is>
      </c>
      <c r="E26" s="4" t="inlineStr">
        <is>
          <t>Fraction defective; limits change with each n_i.</t>
        </is>
      </c>
    </row>
    <row r="27" ht="36" customHeight="1">
      <c r="A27" s="20" t="inlineStr">
        <is>
          <t>Defects (counts)</t>
        </is>
      </c>
      <c r="B27" s="20" t="inlineStr">
        <is>
          <t>Constant area</t>
        </is>
      </c>
      <c r="C27" s="20" t="inlineStr">
        <is>
          <t>c</t>
        </is>
      </c>
      <c r="D27" s="20" t="inlineStr">
        <is>
          <t>cbar +/- 3 sqrt(cbar); LCL floors at 0</t>
        </is>
      </c>
      <c r="E27" s="20" t="inlineStr">
        <is>
          <t>Defects per unit, same inspection area each time.</t>
        </is>
      </c>
    </row>
    <row r="28" ht="36" customHeight="1">
      <c r="A28" s="4" t="inlineStr">
        <is>
          <t>Defects (counts)</t>
        </is>
      </c>
      <c r="B28" s="4" t="inlineStr">
        <is>
          <t>Varying area</t>
        </is>
      </c>
      <c r="C28" s="4" t="inlineStr">
        <is>
          <t>u</t>
        </is>
      </c>
      <c r="D28" s="4" t="inlineStr">
        <is>
          <t>ubar +/- 3 sqrt(ubar / n_i); LCL floors at 0</t>
        </is>
      </c>
      <c r="E28" s="4" t="inlineStr">
        <is>
          <t>Defects per unit when inspection area varies.</t>
        </is>
      </c>
    </row>
    <row r="29" ht="36" customHeight="1">
      <c r="A29" s="20" t="inlineStr">
        <is>
          <t>Defectives or defects</t>
        </is>
      </c>
      <c r="B29" s="20" t="inlineStr">
        <is>
          <t>Very large n, limits too tight</t>
        </is>
      </c>
      <c r="C29" s="20" t="inlineStr">
        <is>
          <t>Laney p' / u'</t>
        </is>
      </c>
      <c r="D29" s="20" t="inlineStr">
        <is>
          <t>p or u limits x sigma_Z</t>
        </is>
      </c>
      <c r="E29" s="20" t="inlineStr">
        <is>
          <t>Overdispersed attribute data.</t>
        </is>
      </c>
    </row>
    <row r="30" ht="36" customHeight="1">
      <c r="A30" s="4" t="inlineStr">
        <is>
          <t>Continuous</t>
        </is>
      </c>
      <c r="B30" s="4" t="inlineStr">
        <is>
          <t>Any; detect shifts &lt; 1.5 sigma</t>
        </is>
      </c>
      <c r="C30" s="4" t="inlineStr">
        <is>
          <t>EWMA or CUSUM</t>
        </is>
      </c>
      <c r="D30" s="4" t="inlineStr">
        <is>
          <t>Software (lambda, L or k, h)</t>
        </is>
      </c>
      <c r="E30" s="4" t="inlineStr">
        <is>
          <t>Small sustained shifts; complements a Shewhart chart.</t>
        </is>
      </c>
    </row>
    <row r="32" ht="24" customHeight="1">
      <c r="A32" s="51" t="inlineStr">
        <is>
          <t>2b. Control chart constants by subgroup size n</t>
        </is>
      </c>
    </row>
    <row r="33">
      <c r="A33" s="52" t="inlineStr">
        <is>
          <t>n</t>
        </is>
      </c>
      <c r="B33" s="52" t="inlineStr">
        <is>
          <t>A2</t>
        </is>
      </c>
      <c r="C33" s="52" t="inlineStr">
        <is>
          <t>D3</t>
        </is>
      </c>
      <c r="D33" s="52" t="inlineStr">
        <is>
          <t>D4</t>
        </is>
      </c>
      <c r="E33" s="52" t="inlineStr">
        <is>
          <t>A3</t>
        </is>
      </c>
      <c r="F33" s="52" t="inlineStr">
        <is>
          <t>B3</t>
        </is>
      </c>
      <c r="G33" s="52" t="inlineStr">
        <is>
          <t>B4</t>
        </is>
      </c>
      <c r="H33" s="52" t="inlineStr">
        <is>
          <t>d2</t>
        </is>
      </c>
      <c r="I33" s="52" t="inlineStr">
        <is>
          <t>c4</t>
        </is>
      </c>
    </row>
    <row r="34">
      <c r="A34" s="53" t="n">
        <v>2</v>
      </c>
      <c r="B34" s="54" t="n">
        <v>1.88</v>
      </c>
      <c r="C34" s="54" t="n">
        <v>0</v>
      </c>
      <c r="D34" s="54" t="n">
        <v>3.267</v>
      </c>
      <c r="E34" s="54" t="n">
        <v>2.659</v>
      </c>
      <c r="F34" s="54" t="n">
        <v>0</v>
      </c>
      <c r="G34" s="54" t="n">
        <v>3.267</v>
      </c>
      <c r="H34" s="54" t="n">
        <v>1.128</v>
      </c>
      <c r="I34" s="55" t="n">
        <v>0.7979000000000001</v>
      </c>
    </row>
    <row r="35">
      <c r="A35" s="56" t="n">
        <v>3</v>
      </c>
      <c r="B35" s="57" t="n">
        <v>1.023</v>
      </c>
      <c r="C35" s="57" t="n">
        <v>0</v>
      </c>
      <c r="D35" s="57" t="n">
        <v>2.574</v>
      </c>
      <c r="E35" s="57" t="n">
        <v>1.954</v>
      </c>
      <c r="F35" s="57" t="n">
        <v>0</v>
      </c>
      <c r="G35" s="57" t="n">
        <v>2.568</v>
      </c>
      <c r="H35" s="57" t="n">
        <v>1.693</v>
      </c>
      <c r="I35" s="58" t="n">
        <v>0.8862</v>
      </c>
    </row>
    <row r="36">
      <c r="A36" s="53" t="n">
        <v>4</v>
      </c>
      <c r="B36" s="54" t="n">
        <v>0.729</v>
      </c>
      <c r="C36" s="54" t="n">
        <v>0</v>
      </c>
      <c r="D36" s="54" t="n">
        <v>2.282</v>
      </c>
      <c r="E36" s="54" t="n">
        <v>1.628</v>
      </c>
      <c r="F36" s="54" t="n">
        <v>0</v>
      </c>
      <c r="G36" s="54" t="n">
        <v>2.266</v>
      </c>
      <c r="H36" s="54" t="n">
        <v>2.059</v>
      </c>
      <c r="I36" s="55" t="n">
        <v>0.9213</v>
      </c>
    </row>
    <row r="37">
      <c r="A37" s="56" t="n">
        <v>5</v>
      </c>
      <c r="B37" s="57" t="n">
        <v>0.577</v>
      </c>
      <c r="C37" s="57" t="n">
        <v>0</v>
      </c>
      <c r="D37" s="57" t="n">
        <v>2.114</v>
      </c>
      <c r="E37" s="57" t="n">
        <v>1.427</v>
      </c>
      <c r="F37" s="57" t="n">
        <v>0</v>
      </c>
      <c r="G37" s="57" t="n">
        <v>2.089</v>
      </c>
      <c r="H37" s="57" t="n">
        <v>2.326</v>
      </c>
      <c r="I37" s="58" t="n">
        <v>0.9399999999999999</v>
      </c>
    </row>
    <row r="38">
      <c r="A38" s="53" t="n">
        <v>6</v>
      </c>
      <c r="B38" s="54" t="n">
        <v>0.483</v>
      </c>
      <c r="C38" s="54" t="n">
        <v>0</v>
      </c>
      <c r="D38" s="54" t="n">
        <v>2.004</v>
      </c>
      <c r="E38" s="54" t="n">
        <v>1.287</v>
      </c>
      <c r="F38" s="54" t="n">
        <v>0.03</v>
      </c>
      <c r="G38" s="54" t="n">
        <v>1.97</v>
      </c>
      <c r="H38" s="54" t="n">
        <v>2.534</v>
      </c>
      <c r="I38" s="55" t="n">
        <v>0.9515</v>
      </c>
    </row>
    <row r="39">
      <c r="A39" s="56" t="n">
        <v>7</v>
      </c>
      <c r="B39" s="57" t="n">
        <v>0.419</v>
      </c>
      <c r="C39" s="57" t="n">
        <v>0.076</v>
      </c>
      <c r="D39" s="57" t="n">
        <v>1.924</v>
      </c>
      <c r="E39" s="57" t="n">
        <v>1.182</v>
      </c>
      <c r="F39" s="57" t="n">
        <v>0.118</v>
      </c>
      <c r="G39" s="57" t="n">
        <v>1.882</v>
      </c>
      <c r="H39" s="57" t="n">
        <v>2.704</v>
      </c>
      <c r="I39" s="58" t="n">
        <v>0.9594</v>
      </c>
    </row>
    <row r="40">
      <c r="A40" s="53" t="n">
        <v>8</v>
      </c>
      <c r="B40" s="54" t="n">
        <v>0.373</v>
      </c>
      <c r="C40" s="54" t="n">
        <v>0.136</v>
      </c>
      <c r="D40" s="54" t="n">
        <v>1.864</v>
      </c>
      <c r="E40" s="54" t="n">
        <v>1.099</v>
      </c>
      <c r="F40" s="54" t="n">
        <v>0.185</v>
      </c>
      <c r="G40" s="54" t="n">
        <v>1.815</v>
      </c>
      <c r="H40" s="54" t="n">
        <v>2.847</v>
      </c>
      <c r="I40" s="55" t="n">
        <v>0.965</v>
      </c>
    </row>
    <row r="41">
      <c r="A41" s="56" t="n">
        <v>9</v>
      </c>
      <c r="B41" s="57" t="n">
        <v>0.337</v>
      </c>
      <c r="C41" s="57" t="n">
        <v>0.184</v>
      </c>
      <c r="D41" s="57" t="n">
        <v>1.816</v>
      </c>
      <c r="E41" s="57" t="n">
        <v>1.032</v>
      </c>
      <c r="F41" s="57" t="n">
        <v>0.239</v>
      </c>
      <c r="G41" s="57" t="n">
        <v>1.761</v>
      </c>
      <c r="H41" s="57" t="n">
        <v>2.97</v>
      </c>
      <c r="I41" s="58" t="n">
        <v>0.9693000000000001</v>
      </c>
    </row>
    <row r="42">
      <c r="A42" s="53" t="n">
        <v>10</v>
      </c>
      <c r="B42" s="54" t="n">
        <v>0.308</v>
      </c>
      <c r="C42" s="54" t="n">
        <v>0.223</v>
      </c>
      <c r="D42" s="54" t="n">
        <v>1.777</v>
      </c>
      <c r="E42" s="54" t="n">
        <v>0.975</v>
      </c>
      <c r="F42" s="54" t="n">
        <v>0.284</v>
      </c>
      <c r="G42" s="54" t="n">
        <v>1.716</v>
      </c>
      <c r="H42" s="54" t="n">
        <v>3.078</v>
      </c>
      <c r="I42" s="55" t="n">
        <v>0.9727</v>
      </c>
    </row>
    <row r="44" ht="24" customHeight="1">
      <c r="A44" s="51" t="inlineStr">
        <is>
          <t>3. Project loop with stop conditions and term limits</t>
        </is>
      </c>
    </row>
    <row r="45" ht="32" customHeight="1">
      <c r="A45" s="52" t="inlineStr">
        <is>
          <t>Step</t>
        </is>
      </c>
      <c r="B45" s="52" t="inlineStr">
        <is>
          <t>Action</t>
        </is>
      </c>
      <c r="C45" s="52" t="inlineStr">
        <is>
          <t>Check</t>
        </is>
      </c>
      <c r="D45" s="52" t="inlineStr">
        <is>
          <t>If yes, go to</t>
        </is>
      </c>
      <c r="E45" s="52" t="inlineStr">
        <is>
          <t>If no, go to</t>
        </is>
      </c>
    </row>
    <row r="46" ht="51" customHeight="1">
      <c r="A46" s="4" t="inlineStr">
        <is>
          <t>1</t>
        </is>
      </c>
      <c r="B46" s="4" t="inlineStr">
        <is>
          <t>Write the objective, metric, baseline, target, and done-when line.</t>
        </is>
      </c>
      <c r="C46" s="4" t="inlineStr">
        <is>
          <t>All five written?</t>
        </is>
      </c>
      <c r="D46" s="4" t="inlineStr">
        <is>
          <t>2</t>
        </is>
      </c>
      <c r="E46" s="4" t="inlineStr">
        <is>
          <t>Stop: ask the owner</t>
        </is>
      </c>
    </row>
    <row r="47" ht="51" customHeight="1">
      <c r="A47" s="20" t="inlineStr">
        <is>
          <t>2</t>
        </is>
      </c>
      <c r="B47" s="20" t="inlineStr">
        <is>
          <t>Set term limits: attempts (6), time budget, token budget.</t>
        </is>
      </c>
      <c r="C47" s="20" t="inlineStr">
        <is>
          <t>Limits written?</t>
        </is>
      </c>
      <c r="D47" s="20" t="inlineStr">
        <is>
          <t>3</t>
        </is>
      </c>
      <c r="E47" s="20" t="inlineStr">
        <is>
          <t>Set defaults (6 attempts; time and token budgets as agreed with the owner), then 3</t>
        </is>
      </c>
    </row>
    <row r="48" ht="36" customHeight="1">
      <c r="A48" s="4" t="inlineStr">
        <is>
          <t>3</t>
        </is>
      </c>
      <c r="B48" s="4" t="inlineStr">
        <is>
          <t>Attempt the next sub-problem (attempts + 1).</t>
        </is>
      </c>
      <c r="C48" s="4" t="inlineStr">
        <is>
          <t>Sub-problem done-when true?</t>
        </is>
      </c>
      <c r="D48" s="4" t="inlineStr">
        <is>
          <t>3b</t>
        </is>
      </c>
      <c r="E48" s="4" t="inlineStr">
        <is>
          <t>4</t>
        </is>
      </c>
    </row>
    <row r="49" ht="36" customHeight="1">
      <c r="A49" s="20" t="inlineStr">
        <is>
          <t>3b</t>
        </is>
      </c>
      <c r="B49" s="20" t="inlineStr">
        <is>
          <t>Check the whole project.</t>
        </is>
      </c>
      <c r="C49" s="20" t="inlineStr">
        <is>
          <t>Project done-when true?</t>
        </is>
      </c>
      <c r="D49" s="20" t="inlineStr">
        <is>
          <t>6</t>
        </is>
      </c>
      <c r="E49" s="20" t="inlineStr">
        <is>
          <t>5 (then next sub-problem)</t>
        </is>
      </c>
    </row>
    <row r="50" ht="51" customHeight="1">
      <c r="A50" s="4" t="inlineStr">
        <is>
          <t>4</t>
        </is>
      </c>
      <c r="B50" s="4" t="inlineStr">
        <is>
          <t>Log the failure in FAILURES.xlsx (category, root cause).</t>
        </is>
      </c>
      <c r="C50" s="4" t="inlineStr">
        <is>
          <t>Same root cause seen before?</t>
        </is>
      </c>
      <c r="D50" s="4" t="inlineStr">
        <is>
          <t>Apply the logged fix, then 5</t>
        </is>
      </c>
      <c r="E50" s="4" t="inlineStr">
        <is>
          <t>5</t>
        </is>
      </c>
    </row>
    <row r="51" ht="21" customHeight="1">
      <c r="A51" s="20" t="inlineStr">
        <is>
          <t>5</t>
        </is>
      </c>
      <c r="B51" s="20" t="inlineStr">
        <is>
          <t>Check term limits.</t>
        </is>
      </c>
      <c r="C51" s="20" t="inlineStr">
        <is>
          <t>Any limit reached?</t>
        </is>
      </c>
      <c r="D51" s="20" t="inlineStr">
        <is>
          <t>7</t>
        </is>
      </c>
      <c r="E51" s="20" t="inlineStr">
        <is>
          <t>3</t>
        </is>
      </c>
    </row>
    <row r="52" ht="51" customHeight="1">
      <c r="A52" s="4" t="inlineStr">
        <is>
          <t>6</t>
        </is>
      </c>
      <c r="B52" s="4" t="inlineStr">
        <is>
          <t>Run Part B self-audit (objective, history, claim ledger, sweep).</t>
        </is>
      </c>
      <c r="C52" s="4" t="inlineStr">
        <is>
          <t>Every claim verified?</t>
        </is>
      </c>
      <c r="D52" s="4" t="inlineStr">
        <is>
          <t>8</t>
        </is>
      </c>
      <c r="E52" s="4" t="inlineStr">
        <is>
          <t>4 (log as 'Claimed work not done')</t>
        </is>
      </c>
    </row>
    <row r="53" ht="36" customHeight="1">
      <c r="A53" s="20" t="inlineStr">
        <is>
          <t>7</t>
        </is>
      </c>
      <c r="B53" s="20" t="inlineStr">
        <is>
          <t>Write the hand-off plan (B6).</t>
        </is>
      </c>
      <c r="C53" s="20" t="inlineStr">
        <is>
          <t>A fresh agent could finish from it?</t>
        </is>
      </c>
      <c r="D53" s="20" t="inlineStr">
        <is>
          <t>8</t>
        </is>
      </c>
      <c r="E53" s="20" t="inlineStr">
        <is>
          <t>Revise once; if still no, list the missing items as the plan's first line, then 8</t>
        </is>
      </c>
    </row>
    <row r="54" ht="36" customHeight="1">
      <c r="A54" s="4" t="inlineStr">
        <is>
          <t>8</t>
        </is>
      </c>
      <c r="B54" s="4" t="inlineStr">
        <is>
          <t>Run Parts C and D; report.</t>
        </is>
      </c>
      <c r="C54" s="4" t="inlineStr">
        <is>
          <t>Report block complete?</t>
        </is>
      </c>
      <c r="D54" s="4" t="inlineStr">
        <is>
          <t>End</t>
        </is>
      </c>
      <c r="E54" s="4" t="inlineStr">
        <is>
          <t>Fill the missing block once; if still incomplete, mark it missing in the report, then End</t>
        </is>
      </c>
    </row>
  </sheetData>
  <mergeCells count="5">
    <mergeCell ref="A2:I2"/>
    <mergeCell ref="A32:I32"/>
    <mergeCell ref="A44:I44"/>
    <mergeCell ref="A1:I1"/>
    <mergeCell ref="A20:I20"/>
  </mergeCells>
  <printOptions horizontalCentered="1"/>
  <pageMargins left="0.4" right="0.4" top="0.75" bottom="0.75" header="0.3" footer="0.3"/>
  <pageSetup orientation="landscape" paperSize="1" fitToHeight="0" fitToWidth="1"/>
  <headerFooter>
    <oddHeader>&amp;C&amp;BDecision Algorithms</oddHeader>
    <oddFooter>&amp;LAlgo toolbox&amp;CPage &amp;P of &amp;N&amp;R&amp;A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26" customWidth="1" min="4" max="4"/>
    <col width="40" customWidth="1" min="5" max="5"/>
    <col width="32" customWidth="1" min="6" max="6"/>
    <col width="32" customWidth="1" min="7" max="7"/>
    <col width="12" customWidth="1" min="8" max="8"/>
  </cols>
  <sheetData>
    <row r="1" ht="30" customHeight="1">
      <c r="A1" s="59" t="inlineStr">
        <is>
          <t>Failure log: one row per failure, every project, every run</t>
        </is>
      </c>
    </row>
    <row r="2" ht="32" customHeight="1">
      <c r="A2" s="60" t="inlineStr">
        <is>
          <t>Date</t>
        </is>
      </c>
      <c r="B2" s="60" t="inlineStr">
        <is>
          <t>Project</t>
        </is>
      </c>
      <c r="C2" s="60" t="inlineStr">
        <is>
          <t>Agent</t>
        </is>
      </c>
      <c r="D2" s="60" t="inlineStr">
        <is>
          <t>Category</t>
        </is>
      </c>
      <c r="E2" s="60" t="inlineStr">
        <is>
          <t>What happened</t>
        </is>
      </c>
      <c r="F2" s="60" t="inlineStr">
        <is>
          <t>Root cause</t>
        </is>
      </c>
      <c r="G2" s="60" t="inlineStr">
        <is>
          <t>Fix / rule added</t>
        </is>
      </c>
      <c r="H2" s="60" t="inlineStr">
        <is>
          <t>Recurrence (Y/N)</t>
        </is>
      </c>
    </row>
    <row r="3" ht="36" customHeight="1">
      <c r="A3" s="4" t="inlineStr">
        <is>
          <t>2026-10-08</t>
        </is>
      </c>
      <c r="B3" s="4" t="inlineStr">
        <is>
          <t>two-arm-digital-gantry</t>
        </is>
      </c>
      <c r="C3" s="4" t="inlineStr">
        <is>
          <t>Grok</t>
        </is>
      </c>
      <c r="D3" s="4" t="inlineStr">
        <is>
          <t>Absence treated as proof</t>
        </is>
      </c>
      <c r="E3" s="4" t="inlineStr">
        <is>
          <t>A 404 on a hardware repo was recorded as 'name never created'.</t>
        </is>
      </c>
      <c r="F3" s="4" t="inlineStr">
        <is>
          <t>Lookup failure read as a fact about the world.</t>
        </is>
      </c>
      <c r="G3" s="4" t="inlineStr">
        <is>
          <t>Rule B3: record 'not found by &lt;method&gt;'.</t>
        </is>
      </c>
      <c r="H3" s="4" t="inlineStr">
        <is>
          <t>Y</t>
        </is>
      </c>
    </row>
    <row r="4" ht="36" customHeight="1">
      <c r="A4" s="22" t="inlineStr">
        <is>
          <t>2026-10-08</t>
        </is>
      </c>
      <c r="B4" s="22" t="inlineStr">
        <is>
          <t>two-arm-digital-gantry</t>
        </is>
      </c>
      <c r="C4" s="22" t="inlineStr">
        <is>
          <t>Grok</t>
        </is>
      </c>
      <c r="D4" s="22" t="inlineStr">
        <is>
          <t>Claimed work not done</t>
        </is>
      </c>
      <c r="E4" s="22" t="inlineStr">
        <is>
          <t>CAD was reported but no CAD file existed.</t>
        </is>
      </c>
      <c r="F4" s="22" t="inlineStr">
        <is>
          <t>No claim ledger; claims not tied to paths.</t>
        </is>
      </c>
      <c r="G4" s="22" t="inlineStr">
        <is>
          <t>Rule B3: every claim needs a file path.</t>
        </is>
      </c>
      <c r="H4" s="22" t="inlineStr">
        <is>
          <t>Y</t>
        </is>
      </c>
    </row>
    <row r="5" ht="36" customHeight="1">
      <c r="A5" s="4" t="inlineStr">
        <is>
          <t>2026-10-08</t>
        </is>
      </c>
      <c r="B5" s="4" t="inlineStr">
        <is>
          <t>two-arm-digital-gantry</t>
        </is>
      </c>
      <c r="C5" s="4" t="inlineStr">
        <is>
          <t>Grok</t>
        </is>
      </c>
      <c r="D5" s="4" t="inlineStr">
        <is>
          <t>Unknown left in a table</t>
        </is>
      </c>
      <c r="E5" s="4" t="inlineStr">
        <is>
          <t>Motor table published with servo repo 'unknown' and no dimensions.</t>
        </is>
      </c>
      <c r="F5" s="4" t="inlineStr">
        <is>
          <t>Agent stopped at search instead of designing.</t>
        </is>
      </c>
      <c r="G5" s="4" t="inlineStr">
        <is>
          <t>Rule A7: source, design, or give search terms.</t>
        </is>
      </c>
      <c r="H5" s="4" t="inlineStr">
        <is>
          <t>Y</t>
        </is>
      </c>
    </row>
    <row r="6" ht="36" customHeight="1">
      <c r="A6" s="22" t="inlineStr">
        <is>
          <t>2026-10-08</t>
        </is>
      </c>
      <c r="B6" s="22" t="inlineStr">
        <is>
          <t>two-arm-digital-gantry</t>
        </is>
      </c>
      <c r="C6" s="22" t="inlineStr">
        <is>
          <t>Grok</t>
        </is>
      </c>
      <c r="D6" s="22" t="inlineStr">
        <is>
          <t>Unreadable image or CAD view</t>
        </is>
      </c>
      <c r="E6" s="22" t="inlineStr">
        <is>
          <t>Image output was not readable; wasted owner time.</t>
        </is>
      </c>
      <c r="F6" s="22" t="inlineStr">
        <is>
          <t>No pagination check before reporting.</t>
        </is>
      </c>
      <c r="G6" s="22" t="inlineStr">
        <is>
          <t>Rule A8: open and check every image.</t>
        </is>
      </c>
      <c r="H6" s="22" t="inlineStr">
        <is>
          <t>Y</t>
        </is>
      </c>
    </row>
    <row r="7" ht="36" customHeight="1">
      <c r="A7" s="4" t="inlineStr">
        <is>
          <t>2026-10-08</t>
        </is>
      </c>
      <c r="B7" s="4" t="inlineStr">
        <is>
          <t>two-arm-digital-gantry</t>
        </is>
      </c>
      <c r="C7" s="4" t="inlineStr">
        <is>
          <t>Grok</t>
        </is>
      </c>
      <c r="D7" s="4" t="inlineStr">
        <is>
          <t>Exit attempt / premature stop</t>
        </is>
      </c>
      <c r="E7" s="4" t="inlineStr">
        <is>
          <t>Agent kept trying to end before solving the problem.</t>
        </is>
      </c>
      <c r="F7" s="4" t="inlineStr">
        <is>
          <t>Vague completion criteria.</t>
        </is>
      </c>
      <c r="G7" s="4" t="inlineStr">
        <is>
          <t>Done-when line on every step; loop control.</t>
        </is>
      </c>
      <c r="H7" s="4" t="inlineStr">
        <is>
          <t>Y</t>
        </is>
      </c>
    </row>
    <row r="8" ht="36" customHeight="1">
      <c r="A8" s="22" t="inlineStr">
        <is>
          <t>2026-10-08</t>
        </is>
      </c>
      <c r="B8" s="22" t="inlineStr">
        <is>
          <t>two-arm-digital-gantry</t>
        </is>
      </c>
      <c r="C8" s="22" t="inlineStr">
        <is>
          <t>Grok</t>
        </is>
      </c>
      <c r="D8" s="22" t="inlineStr">
        <is>
          <t>Objective drift</t>
        </is>
      </c>
      <c r="E8" s="22" t="inlineStr">
        <is>
          <t>Session did not deliver the original objective.</t>
        </is>
      </c>
      <c r="F8" s="22" t="inlineStr">
        <is>
          <t>No objective restatement before reporting.</t>
        </is>
      </c>
      <c r="G8" s="22" t="inlineStr">
        <is>
          <t>Rule B1 and B5: objective score.</t>
        </is>
      </c>
      <c r="H8" s="22" t="inlineStr">
        <is>
          <t>Y</t>
        </is>
      </c>
    </row>
    <row r="9" ht="20" customHeight="1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20" customHeight="1">
      <c r="A10" s="61" t="n"/>
      <c r="B10" s="61" t="n"/>
      <c r="C10" s="61" t="n"/>
      <c r="D10" s="61" t="n"/>
      <c r="E10" s="61" t="n"/>
      <c r="F10" s="61" t="n"/>
      <c r="G10" s="61" t="n"/>
      <c r="H10" s="61" t="n"/>
    </row>
    <row r="11" ht="20" customHeight="1">
      <c r="A11" s="61" t="n"/>
      <c r="B11" s="61" t="n"/>
      <c r="C11" s="61" t="n"/>
      <c r="D11" s="61" t="n"/>
      <c r="E11" s="61" t="n"/>
      <c r="F11" s="61" t="n"/>
      <c r="G11" s="61" t="n"/>
      <c r="H11" s="61" t="n"/>
    </row>
    <row r="12" ht="20" customHeight="1">
      <c r="A12" s="61" t="n"/>
      <c r="B12" s="61" t="n"/>
      <c r="C12" s="61" t="n"/>
      <c r="D12" s="61" t="n"/>
      <c r="E12" s="61" t="n"/>
      <c r="F12" s="61" t="n"/>
      <c r="G12" s="61" t="n"/>
      <c r="H12" s="61" t="n"/>
    </row>
    <row r="13" ht="20" customHeight="1">
      <c r="A13" s="61" t="n"/>
      <c r="B13" s="61" t="n"/>
      <c r="C13" s="61" t="n"/>
      <c r="D13" s="61" t="n"/>
      <c r="E13" s="61" t="n"/>
      <c r="F13" s="61" t="n"/>
      <c r="G13" s="61" t="n"/>
      <c r="H13" s="61" t="n"/>
    </row>
    <row r="14" ht="20" customHeight="1">
      <c r="A14" s="61" t="n"/>
      <c r="B14" s="61" t="n"/>
      <c r="C14" s="61" t="n"/>
      <c r="D14" s="61" t="n"/>
      <c r="E14" s="61" t="n"/>
      <c r="F14" s="61" t="n"/>
      <c r="G14" s="61" t="n"/>
      <c r="H14" s="61" t="n"/>
    </row>
    <row r="15" ht="20" customHeight="1">
      <c r="A15" s="61" t="n"/>
      <c r="B15" s="61" t="n"/>
      <c r="C15" s="61" t="n"/>
      <c r="D15" s="61" t="n"/>
      <c r="E15" s="61" t="n"/>
      <c r="F15" s="61" t="n"/>
      <c r="G15" s="61" t="n"/>
      <c r="H15" s="61" t="n"/>
    </row>
    <row r="16" ht="20" customHeight="1">
      <c r="A16" s="61" t="n"/>
      <c r="B16" s="61" t="n"/>
      <c r="C16" s="61" t="n"/>
      <c r="D16" s="61" t="n"/>
      <c r="E16" s="61" t="n"/>
      <c r="F16" s="61" t="n"/>
      <c r="G16" s="61" t="n"/>
      <c r="H16" s="61" t="n"/>
    </row>
    <row r="17" ht="20" customHeight="1">
      <c r="A17" s="61" t="n"/>
      <c r="B17" s="61" t="n"/>
      <c r="C17" s="61" t="n"/>
      <c r="D17" s="61" t="n"/>
      <c r="E17" s="61" t="n"/>
      <c r="F17" s="61" t="n"/>
      <c r="G17" s="61" t="n"/>
      <c r="H17" s="61" t="n"/>
    </row>
    <row r="18" ht="20" customHeight="1">
      <c r="A18" s="61" t="n"/>
      <c r="B18" s="61" t="n"/>
      <c r="C18" s="61" t="n"/>
      <c r="D18" s="61" t="n"/>
      <c r="E18" s="61" t="n"/>
      <c r="F18" s="61" t="n"/>
      <c r="G18" s="61" t="n"/>
      <c r="H18" s="61" t="n"/>
    </row>
    <row r="19" ht="20" customHeight="1">
      <c r="A19" s="61" t="n"/>
      <c r="B19" s="61" t="n"/>
      <c r="C19" s="61" t="n"/>
      <c r="D19" s="61" t="n"/>
      <c r="E19" s="61" t="n"/>
      <c r="F19" s="61" t="n"/>
      <c r="G19" s="61" t="n"/>
      <c r="H19" s="61" t="n"/>
    </row>
    <row r="20" ht="20" customHeight="1">
      <c r="A20" s="61" t="n"/>
      <c r="B20" s="61" t="n"/>
      <c r="C20" s="61" t="n"/>
      <c r="D20" s="61" t="n"/>
      <c r="E20" s="61" t="n"/>
      <c r="F20" s="61" t="n"/>
      <c r="G20" s="61" t="n"/>
      <c r="H20" s="61" t="n"/>
    </row>
    <row r="21" ht="20" customHeight="1">
      <c r="A21" s="61" t="n"/>
      <c r="B21" s="61" t="n"/>
      <c r="C21" s="61" t="n"/>
      <c r="D21" s="61" t="n"/>
      <c r="E21" s="61" t="n"/>
      <c r="F21" s="61" t="n"/>
      <c r="G21" s="61" t="n"/>
      <c r="H21" s="61" t="n"/>
    </row>
    <row r="22" ht="20" customHeight="1">
      <c r="A22" s="61" t="n"/>
      <c r="B22" s="61" t="n"/>
      <c r="C22" s="61" t="n"/>
      <c r="D22" s="61" t="n"/>
      <c r="E22" s="61" t="n"/>
      <c r="F22" s="61" t="n"/>
      <c r="G22" s="61" t="n"/>
      <c r="H22" s="61" t="n"/>
    </row>
    <row r="23" ht="20" customHeight="1">
      <c r="A23" s="61" t="n"/>
      <c r="B23" s="61" t="n"/>
      <c r="C23" s="61" t="n"/>
      <c r="D23" s="61" t="n"/>
      <c r="E23" s="61" t="n"/>
      <c r="F23" s="61" t="n"/>
      <c r="G23" s="61" t="n"/>
      <c r="H23" s="61" t="n"/>
    </row>
    <row r="24" ht="20" customHeight="1">
      <c r="A24" s="61" t="n"/>
      <c r="B24" s="61" t="n"/>
      <c r="C24" s="61" t="n"/>
      <c r="D24" s="61" t="n"/>
      <c r="E24" s="61" t="n"/>
      <c r="F24" s="61" t="n"/>
      <c r="G24" s="61" t="n"/>
      <c r="H24" s="61" t="n"/>
    </row>
    <row r="25" ht="20" customHeight="1">
      <c r="A25" s="61" t="n"/>
      <c r="B25" s="61" t="n"/>
      <c r="C25" s="61" t="n"/>
      <c r="D25" s="61" t="n"/>
      <c r="E25" s="61" t="n"/>
      <c r="F25" s="61" t="n"/>
      <c r="G25" s="61" t="n"/>
      <c r="H25" s="61" t="n"/>
    </row>
    <row r="26" ht="20" customHeight="1">
      <c r="A26" s="61" t="n"/>
      <c r="B26" s="61" t="n"/>
      <c r="C26" s="61" t="n"/>
      <c r="D26" s="61" t="n"/>
      <c r="E26" s="61" t="n"/>
      <c r="F26" s="61" t="n"/>
      <c r="G26" s="61" t="n"/>
      <c r="H26" s="61" t="n"/>
    </row>
    <row r="27" ht="20" customHeight="1">
      <c r="A27" s="61" t="n"/>
      <c r="B27" s="61" t="n"/>
      <c r="C27" s="61" t="n"/>
      <c r="D27" s="61" t="n"/>
      <c r="E27" s="61" t="n"/>
      <c r="F27" s="61" t="n"/>
      <c r="G27" s="61" t="n"/>
      <c r="H27" s="61" t="n"/>
    </row>
    <row r="28" ht="20" customHeight="1">
      <c r="A28" s="61" t="n"/>
      <c r="B28" s="61" t="n"/>
      <c r="C28" s="61" t="n"/>
      <c r="D28" s="61" t="n"/>
      <c r="E28" s="61" t="n"/>
      <c r="F28" s="61" t="n"/>
      <c r="G28" s="61" t="n"/>
      <c r="H28" s="61" t="n"/>
    </row>
  </sheetData>
  <mergeCells count="1">
    <mergeCell ref="A1:H1"/>
  </mergeCells>
  <dataValidations count="1">
    <dataValidation sqref="D3:D502" showDropDown="0" showInputMessage="0" showErrorMessage="0" allowBlank="1" errorTitle="Category" error="Pick a category from the list (Failure Pareto sheet)." type="list">
      <formula1>='Failure Pareto'!$B$4:$B$15</formula1>
    </dataValidation>
  </dataValidations>
  <printOptions horizontalCentered="1"/>
  <pageMargins left="0.4" right="0.4" top="0.75" bottom="0.75" header="0.3" footer="0.3"/>
  <pageSetup orientation="landscape" paperSize="1" fitToHeight="0" fitToWidth="1"/>
  <headerFooter>
    <oddHeader>&amp;C&amp;BFailure Log</oddHeader>
    <oddFooter>&amp;LAlgo toolbox&amp;CPage &amp;P of &amp;N&amp;R&amp;A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34" customWidth="1" min="2" max="2"/>
    <col width="9" customWidth="1" min="3" max="3"/>
    <col hidden="1" width="7" customWidth="1" min="4" max="4"/>
    <col width="34" customWidth="1" min="5" max="5"/>
    <col width="9" customWidth="1" min="6" max="6"/>
    <col width="13" customWidth="1" min="7" max="7"/>
  </cols>
  <sheetData>
    <row r="1" ht="30" customHeight="1">
      <c r="A1" s="59" t="inlineStr">
        <is>
          <t>Failure Pareto: work the categories that reach 80% first</t>
        </is>
      </c>
    </row>
    <row r="2" ht="22" customHeight="1">
      <c r="A2" s="62" t="inlineStr">
        <is>
          <t>Counts update from the Failure Log. Columns A and D are hidden helpers. Add a category in toolbox_data.py.</t>
        </is>
      </c>
    </row>
    <row r="3" ht="32" customHeight="1">
      <c r="A3" s="60" t="inlineStr">
        <is>
          <t>Rank key</t>
        </is>
      </c>
      <c r="B3" s="60" t="inlineStr">
        <is>
          <t>Category</t>
        </is>
      </c>
      <c r="C3" s="60" t="inlineStr">
        <is>
          <t>Count</t>
        </is>
      </c>
      <c r="D3" s="60" t="inlineStr">
        <is>
          <t>Rank</t>
        </is>
      </c>
      <c r="E3" s="60" t="inlineStr">
        <is>
          <t>Category (sorted by count)</t>
        </is>
      </c>
      <c r="F3" s="60" t="inlineStr">
        <is>
          <t>Count</t>
        </is>
      </c>
      <c r="G3" s="60" t="inlineStr">
        <is>
          <t>Cumulative %</t>
        </is>
      </c>
    </row>
    <row r="4" ht="20" customHeight="1">
      <c r="A4" s="63">
        <f>C4-ROW()/1000</f>
        <v/>
      </c>
      <c r="B4" s="63" t="inlineStr">
        <is>
          <t>Claimed work not done</t>
        </is>
      </c>
      <c r="C4" s="64">
        <f>COUNTIF('Failure Log'!$D$3:$D$502,B4)</f>
        <v/>
      </c>
      <c r="D4" s="64">
        <f>RANK(A4,$A$4:$A$15)</f>
        <v/>
      </c>
      <c r="E4" s="63">
        <f>INDEX($B$4:$B$15,MATCH(1,$D$4:$D$15,0))</f>
        <v/>
      </c>
      <c r="F4" s="64">
        <f>INDEX($C$4:$C$15,MATCH(1,$D$4:$D$15,0))</f>
        <v/>
      </c>
      <c r="G4" s="65">
        <f>IF(SUM($C$4:$C$15)=0,0,SUM($F$4:F4)/SUM($C$4:$C$15))</f>
        <v/>
      </c>
    </row>
    <row r="5" ht="20" customHeight="1">
      <c r="A5" s="66">
        <f>C5-ROW()/1000</f>
        <v/>
      </c>
      <c r="B5" s="66" t="inlineStr">
        <is>
          <t>Absence treated as proof</t>
        </is>
      </c>
      <c r="C5" s="67">
        <f>COUNTIF('Failure Log'!$D$3:$D$502,B5)</f>
        <v/>
      </c>
      <c r="D5" s="67">
        <f>RANK(A5,$A$4:$A$15)</f>
        <v/>
      </c>
      <c r="E5" s="66">
        <f>INDEX($B$4:$B$15,MATCH(2,$D$4:$D$15,0))</f>
        <v/>
      </c>
      <c r="F5" s="67">
        <f>INDEX($C$4:$C$15,MATCH(2,$D$4:$D$15,0))</f>
        <v/>
      </c>
      <c r="G5" s="68">
        <f>IF(SUM($C$4:$C$15)=0,0,SUM($F$4:F5)/SUM($C$4:$C$15))</f>
        <v/>
      </c>
    </row>
    <row r="6" ht="20" customHeight="1">
      <c r="A6" s="63">
        <f>C6-ROW()/1000</f>
        <v/>
      </c>
      <c r="B6" s="63" t="inlineStr">
        <is>
          <t>Unknown left in a table</t>
        </is>
      </c>
      <c r="C6" s="64">
        <f>COUNTIF('Failure Log'!$D$3:$D$502,B6)</f>
        <v/>
      </c>
      <c r="D6" s="64">
        <f>RANK(A6,$A$4:$A$15)</f>
        <v/>
      </c>
      <c r="E6" s="63">
        <f>INDEX($B$4:$B$15,MATCH(3,$D$4:$D$15,0))</f>
        <v/>
      </c>
      <c r="F6" s="64">
        <f>INDEX($C$4:$C$15,MATCH(3,$D$4:$D$15,0))</f>
        <v/>
      </c>
      <c r="G6" s="65">
        <f>IF(SUM($C$4:$C$15)=0,0,SUM($F$4:F6)/SUM($C$4:$C$15))</f>
        <v/>
      </c>
    </row>
    <row r="7" ht="20" customHeight="1">
      <c r="A7" s="66">
        <f>C7-ROW()/1000</f>
        <v/>
      </c>
      <c r="B7" s="66" t="inlineStr">
        <is>
          <t>Objective drift</t>
        </is>
      </c>
      <c r="C7" s="67">
        <f>COUNTIF('Failure Log'!$D$3:$D$502,B7)</f>
        <v/>
      </c>
      <c r="D7" s="67">
        <f>RANK(A7,$A$4:$A$15)</f>
        <v/>
      </c>
      <c r="E7" s="66">
        <f>INDEX($B$4:$B$15,MATCH(4,$D$4:$D$15,0))</f>
        <v/>
      </c>
      <c r="F7" s="67">
        <f>INDEX($C$4:$C$15,MATCH(4,$D$4:$D$15,0))</f>
        <v/>
      </c>
      <c r="G7" s="68">
        <f>IF(SUM($C$4:$C$15)=0,0,SUM($F$4:F7)/SUM($C$4:$C$15))</f>
        <v/>
      </c>
    </row>
    <row r="8" ht="20" customHeight="1">
      <c r="A8" s="63">
        <f>C8-ROW()/1000</f>
        <v/>
      </c>
      <c r="B8" s="63" t="inlineStr">
        <is>
          <t>Exit attempt / premature stop</t>
        </is>
      </c>
      <c r="C8" s="64">
        <f>COUNTIF('Failure Log'!$D$3:$D$502,B8)</f>
        <v/>
      </c>
      <c r="D8" s="64">
        <f>RANK(A8,$A$4:$A$15)</f>
        <v/>
      </c>
      <c r="E8" s="63">
        <f>INDEX($B$4:$B$15,MATCH(5,$D$4:$D$15,0))</f>
        <v/>
      </c>
      <c r="F8" s="64">
        <f>INDEX($C$4:$C$15,MATCH(5,$D$4:$D$15,0))</f>
        <v/>
      </c>
      <c r="G8" s="65">
        <f>IF(SUM($C$4:$C$15)=0,0,SUM($F$4:F8)/SUM($C$4:$C$15))</f>
        <v/>
      </c>
    </row>
    <row r="9" ht="20" customHeight="1">
      <c r="A9" s="66">
        <f>C9-ROW()/1000</f>
        <v/>
      </c>
      <c r="B9" s="66" t="inlineStr">
        <is>
          <t>Unreadable image or CAD view</t>
        </is>
      </c>
      <c r="C9" s="67">
        <f>COUNTIF('Failure Log'!$D$3:$D$502,B9)</f>
        <v/>
      </c>
      <c r="D9" s="67">
        <f>RANK(A9,$A$4:$A$15)</f>
        <v/>
      </c>
      <c r="E9" s="66">
        <f>INDEX($B$4:$B$15,MATCH(6,$D$4:$D$15,0))</f>
        <v/>
      </c>
      <c r="F9" s="67">
        <f>INDEX($C$4:$C$15,MATCH(6,$D$4:$D$15,0))</f>
        <v/>
      </c>
      <c r="G9" s="68">
        <f>IF(SUM($C$4:$C$15)=0,0,SUM($F$4:F9)/SUM($C$4:$C$15))</f>
        <v/>
      </c>
    </row>
    <row r="10" ht="20" customHeight="1">
      <c r="A10" s="63">
        <f>C10-ROW()/1000</f>
        <v/>
      </c>
      <c r="B10" s="63" t="inlineStr">
        <is>
          <t>Math or unit error</t>
        </is>
      </c>
      <c r="C10" s="64">
        <f>COUNTIF('Failure Log'!$D$3:$D$502,B10)</f>
        <v/>
      </c>
      <c r="D10" s="64">
        <f>RANK(A10,$A$4:$A$15)</f>
        <v/>
      </c>
      <c r="E10" s="63">
        <f>INDEX($B$4:$B$15,MATCH(7,$D$4:$D$15,0))</f>
        <v/>
      </c>
      <c r="F10" s="64">
        <f>INDEX($C$4:$C$15,MATCH(7,$D$4:$D$15,0))</f>
        <v/>
      </c>
      <c r="G10" s="65">
        <f>IF(SUM($C$4:$C$15)=0,0,SUM($F$4:F10)/SUM($C$4:$C$15))</f>
        <v/>
      </c>
    </row>
    <row r="11" ht="20" customHeight="1">
      <c r="A11" s="66">
        <f>C11-ROW()/1000</f>
        <v/>
      </c>
      <c r="B11" s="66" t="inlineStr">
        <is>
          <t>Unsourced value</t>
        </is>
      </c>
      <c r="C11" s="67">
        <f>COUNTIF('Failure Log'!$D$3:$D$502,B11)</f>
        <v/>
      </c>
      <c r="D11" s="67">
        <f>RANK(A11,$A$4:$A$15)</f>
        <v/>
      </c>
      <c r="E11" s="66">
        <f>INDEX($B$4:$B$15,MATCH(8,$D$4:$D$15,0))</f>
        <v/>
      </c>
      <c r="F11" s="67">
        <f>INDEX($C$4:$C$15,MATCH(8,$D$4:$D$15,0))</f>
        <v/>
      </c>
      <c r="G11" s="68">
        <f>IF(SUM($C$4:$C$15)=0,0,SUM($F$4:F11)/SUM($C$4:$C$15))</f>
        <v/>
      </c>
    </row>
    <row r="12" ht="20" customHeight="1">
      <c r="A12" s="63">
        <f>C12-ROW()/1000</f>
        <v/>
      </c>
      <c r="B12" s="63" t="inlineStr">
        <is>
          <t>Artifact not secured / not pushed</t>
        </is>
      </c>
      <c r="C12" s="64">
        <f>COUNTIF('Failure Log'!$D$3:$D$502,B12)</f>
        <v/>
      </c>
      <c r="D12" s="64">
        <f>RANK(A12,$A$4:$A$15)</f>
        <v/>
      </c>
      <c r="E12" s="63">
        <f>INDEX($B$4:$B$15,MATCH(9,$D$4:$D$15,0))</f>
        <v/>
      </c>
      <c r="F12" s="64">
        <f>INDEX($C$4:$C$15,MATCH(9,$D$4:$D$15,0))</f>
        <v/>
      </c>
      <c r="G12" s="65">
        <f>IF(SUM($C$4:$C$15)=0,0,SUM($F$4:F12)/SUM($C$4:$C$15))</f>
        <v/>
      </c>
    </row>
    <row r="13" ht="20" customHeight="1">
      <c r="A13" s="66">
        <f>C13-ROW()/1000</f>
        <v/>
      </c>
      <c r="B13" s="66" t="inlineStr">
        <is>
          <t>Wrong location / duplicate created</t>
        </is>
      </c>
      <c r="C13" s="67">
        <f>COUNTIF('Failure Log'!$D$3:$D$502,B13)</f>
        <v/>
      </c>
      <c r="D13" s="67">
        <f>RANK(A13,$A$4:$A$15)</f>
        <v/>
      </c>
      <c r="E13" s="66">
        <f>INDEX($B$4:$B$15,MATCH(10,$D$4:$D$15,0))</f>
        <v/>
      </c>
      <c r="F13" s="67">
        <f>INDEX($C$4:$C$15,MATCH(10,$D$4:$D$15,0))</f>
        <v/>
      </c>
      <c r="G13" s="68">
        <f>IF(SUM($C$4:$C$15)=0,0,SUM($F$4:F13)/SUM($C$4:$C$15))</f>
        <v/>
      </c>
    </row>
    <row r="14" ht="20" customHeight="1">
      <c r="A14" s="63">
        <f>C14-ROW()/1000</f>
        <v/>
      </c>
      <c r="B14" s="63" t="inlineStr">
        <is>
          <t>Skill or procedure skipped</t>
        </is>
      </c>
      <c r="C14" s="64">
        <f>COUNTIF('Failure Log'!$D$3:$D$502,B14)</f>
        <v/>
      </c>
      <c r="D14" s="64">
        <f>RANK(A14,$A$4:$A$15)</f>
        <v/>
      </c>
      <c r="E14" s="63">
        <f>INDEX($B$4:$B$15,MATCH(11,$D$4:$D$15,0))</f>
        <v/>
      </c>
      <c r="F14" s="64">
        <f>INDEX($C$4:$C$15,MATCH(11,$D$4:$D$15,0))</f>
        <v/>
      </c>
      <c r="G14" s="65">
        <f>IF(SUM($C$4:$C$15)=0,0,SUM($F$4:F14)/SUM($C$4:$C$15))</f>
        <v/>
      </c>
    </row>
    <row r="15" ht="20" customHeight="1">
      <c r="A15" s="66">
        <f>C15-ROW()/1000</f>
        <v/>
      </c>
      <c r="B15" s="66" t="inlineStr">
        <is>
          <t>Tool or environment failure</t>
        </is>
      </c>
      <c r="C15" s="67">
        <f>COUNTIF('Failure Log'!$D$3:$D$502,B15)</f>
        <v/>
      </c>
      <c r="D15" s="67">
        <f>RANK(A15,$A$4:$A$15)</f>
        <v/>
      </c>
      <c r="E15" s="66">
        <f>INDEX($B$4:$B$15,MATCH(12,$D$4:$D$15,0))</f>
        <v/>
      </c>
      <c r="F15" s="67">
        <f>INDEX($C$4:$C$15,MATCH(12,$D$4:$D$15,0))</f>
        <v/>
      </c>
      <c r="G15" s="68">
        <f>IF(SUM($C$4:$C$15)=0,0,SUM($F$4:F15)/SUM($C$4:$C$15))</f>
        <v/>
      </c>
    </row>
    <row r="16">
      <c r="B16" s="69" t="inlineStr">
        <is>
          <t>Uncategorized log rows (must read 0)</t>
        </is>
      </c>
      <c r="C16" s="70">
        <f>COUNTA('Failure Log'!$D$3:$D$502)-SUM($C$4:$C$15)</f>
        <v/>
      </c>
    </row>
  </sheetData>
  <mergeCells count="2">
    <mergeCell ref="A2:G2"/>
    <mergeCell ref="A1:G1"/>
  </mergeCells>
  <printOptions horizontalCentered="1"/>
  <pageMargins left="0.4" right="0.4" top="0.75" bottom="0.75" header="0.3" footer="0.3"/>
  <pageSetup orientation="portrait" paperSize="1" fitToHeight="1" fitToWidth="1"/>
  <headerFooter>
    <oddHeader>&amp;C&amp;BFailure Pareto</oddHeader>
    <oddFooter>&amp;LAlgo toolbox&amp;CPage &amp;P of &amp;N&amp;R&amp;A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14" customWidth="1" min="3" max="3"/>
    <col width="70" customWidth="1" min="4" max="4"/>
  </cols>
  <sheetData>
    <row r="1" ht="30" customHeight="1">
      <c r="A1" s="1" t="inlineStr">
        <is>
          <t>Sources and extraction status</t>
        </is>
      </c>
    </row>
    <row r="2" ht="32" customHeight="1">
      <c r="A2" s="2" t="inlineStr">
        <is>
          <t>Source</t>
        </is>
      </c>
      <c r="B2" s="2" t="inlineStr">
        <is>
          <t>Feeds sheet</t>
        </is>
      </c>
      <c r="C2" s="2" t="inlineStr">
        <is>
          <t>Status</t>
        </is>
      </c>
      <c r="D2" s="2" t="inlineStr">
        <is>
          <t>Notes / what is needed</t>
        </is>
      </c>
    </row>
    <row r="3" ht="21" customHeight="1">
      <c r="A3" s="71" t="inlineStr">
        <is>
          <t>Six Sigma methodology (owner's Six Sigma books)</t>
        </is>
      </c>
      <c r="B3" s="72" t="inlineStr">
        <is>
          <t>Six Sigma, Crosswalk</t>
        </is>
      </c>
      <c r="C3" s="72" t="inlineStr">
        <is>
          <t>baseline</t>
        </is>
      </c>
      <c r="D3" s="72" t="inlineStr">
        <is>
          <t>Book titles and paths needed; run extract/ with --lexicon six_sigma.</t>
        </is>
      </c>
    </row>
    <row r="4" ht="51" customHeight="1">
      <c r="A4" s="3" t="inlineStr">
        <is>
          <t>Moore, McCabe &amp; Craig, Introduction to the Practice of Statistics</t>
        </is>
      </c>
      <c r="B4" s="4" t="inlineStr">
        <is>
          <t>Statistics</t>
        </is>
      </c>
      <c r="C4" s="4" t="inlineStr">
        <is>
          <t>baseline</t>
        </is>
      </c>
      <c r="D4" s="4" t="inlineStr">
        <is>
          <t>Chapter numbers match the 6th to 9th editions (Fable review); 10th edition believed unchanged, unverified. Chapters 14 to 17 are online companion chapters. Codex stats extraction will replace this sheet.</t>
        </is>
      </c>
    </row>
    <row r="5" ht="21" customHeight="1">
      <c r="A5" s="71" t="inlineStr">
        <is>
          <t>Owner's engineering statistics text</t>
        </is>
      </c>
      <c r="B5" s="72" t="inlineStr">
        <is>
          <t>Statistics</t>
        </is>
      </c>
      <c r="C5" s="72" t="inlineStr">
        <is>
          <t>pending</t>
        </is>
      </c>
      <c r="D5" s="72" t="inlineStr">
        <is>
          <t>Title needed.</t>
        </is>
      </c>
    </row>
    <row r="6" ht="51" customHeight="1">
      <c r="A6" s="3" t="inlineStr">
        <is>
          <t>Introduction to Computational Thinking (owner's copy)</t>
        </is>
      </c>
      <c r="B6" s="4" t="inlineStr">
        <is>
          <t>Computational Thinking</t>
        </is>
      </c>
      <c r="C6" s="4" t="inlineStr">
        <is>
          <t>baseline</t>
        </is>
      </c>
      <c r="D6" s="4" t="inlineStr">
        <is>
          <t>Book not in this container. Rows are the standard computational-thinking methods (Wing 2006 and common algorithm design). Run extract/ with --lexicon computational_thinking and replace.</t>
        </is>
      </c>
    </row>
    <row r="7" ht="36" customHeight="1">
      <c r="A7" s="71" t="inlineStr">
        <is>
          <t>AIAG MSA (4th ed.), AIAG FMEA (4th ed.), AIAG-VDA FMEA (2019), AIAG SPC</t>
        </is>
      </c>
      <c r="B7" s="72" t="inlineStr">
        <is>
          <t>Six Sigma, Decision Algorithms</t>
        </is>
      </c>
      <c r="C7" s="72" t="inlineStr">
        <is>
          <t>baseline</t>
        </is>
      </c>
      <c r="D7" s="72" t="inlineStr">
        <is>
          <t>Thresholds for %GRR, ndc, attribute agreement, FMEA RPN and Action Priority; chart constants. The 1.5 shift, Cpk, %GRR and kappa bands are not from IPS.</t>
        </is>
      </c>
    </row>
    <row r="8" ht="21" customHeight="1">
      <c r="A8" s="3" t="inlineStr">
        <is>
          <t>Owner failure reports, 2026-10-08</t>
        </is>
      </c>
      <c r="B8" s="4" t="inlineStr">
        <is>
          <t>Failure Log, Failure Pareto</t>
        </is>
      </c>
      <c r="C8" s="4" t="inlineStr">
        <is>
          <t>owner-reported</t>
        </is>
      </c>
      <c r="D8" s="4" t="inlineStr">
        <is>
          <t>Seed rows from the Grok two-arm digital gantry session.</t>
        </is>
      </c>
    </row>
  </sheetData>
  <mergeCells count="1">
    <mergeCell ref="A1:D1"/>
  </mergeCells>
  <printOptions horizontalCentered="1"/>
  <pageMargins left="0.4" right="0.4" top="0.75" bottom="0.75" header="0.3" footer="0.3"/>
  <pageSetup orientation="landscape" paperSize="1" fitToHeight="0" fitToWidth="1"/>
  <headerFooter>
    <oddHeader>&amp;C&amp;BSources</oddHeader>
    <oddFooter>&amp;LAlgo toolbox&amp;CPage &amp;P of &amp;N&amp;R&amp;A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2026-10-08T17:44:56Z</dcterms:created>
  <dcterms:modified xmlns:dcterms="http://purl.org/dc/terms/" xmlns:xsi="http://www.w3.org/2001/XMLSchema-instance" xsi:type="dcterms:W3CDTF">2026-10-08T17:44:56Z</dcterms:modified>
</cp:coreProperties>
</file>